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xt 7 days" sheetId="1" state="visible" r:id="rId1"/>
    <sheet name="Accuracy" sheetId="2" state="visible" r:id="rId2"/>
    <sheet name="Backtest, day ahead" sheetId="3" state="visible" r:id="rId3"/>
    <sheet name="Official bias by hou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demand forecast with 80 % interval (GWh)</a:t>
            </a:r>
          </a:p>
        </rich>
      </tx>
    </title>
    <plotArea>
      <lineChart>
        <grouping val="standard"/>
        <ser>
          <idx val="0"/>
          <order val="0"/>
          <tx>
            <strRef>
              <f>'Next 7 days'!E1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'Next 7 days'!$D$2:$D$8</f>
            </numRef>
          </cat>
          <val>
            <numRef>
              <f>'Next 7 days'!$E$2:$E$8</f>
            </numRef>
          </val>
        </ser>
        <ser>
          <idx val="1"/>
          <order val="1"/>
          <tx>
            <strRef>
              <f>'Next 7 days'!F1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'Next 7 days'!$D$2:$D$8</f>
            </numRef>
          </cat>
          <val>
            <numRef>
              <f>'Next 7 days'!$F$2:$F$8</f>
            </numRef>
          </val>
        </ser>
        <ser>
          <idx val="2"/>
          <order val="2"/>
          <tx>
            <strRef>
              <f>'Next 7 days'!G1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'Next 7 days'!$D$2:$D$8</f>
            </numRef>
          </cat>
          <val>
            <numRef>
              <f>'Next 7 days'!$G$2:$G$8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12" customWidth="1" min="4" max="4"/>
    <col width="14" customWidth="1" min="5" max="5"/>
    <col width="15" customWidth="1" min="6" max="6"/>
    <col width="15" customWidth="1" min="7" max="7"/>
    <col width="9" customWidth="1" min="8" max="8"/>
    <col width="10" customWidth="1" min="9" max="9"/>
  </cols>
  <sheetData>
    <row r="1">
      <c r="A1" s="1" t="inlineStr">
        <is>
          <t>Forecast made</t>
        </is>
      </c>
      <c r="B1" s="1" t="inlineStr">
        <is>
          <t>Day</t>
        </is>
      </c>
      <c r="C1" s="1" t="inlineStr">
        <is>
          <t>Date</t>
        </is>
      </c>
      <c r="D1" s="1" t="inlineStr">
        <is>
          <t>Weekday</t>
        </is>
      </c>
      <c r="E1" s="1" t="inlineStr">
        <is>
          <t>Forecast (GWh)</t>
        </is>
      </c>
      <c r="F1" s="1" t="inlineStr">
        <is>
          <t>Low, 80 % (GWh)</t>
        </is>
      </c>
      <c r="G1" s="1" t="inlineStr">
        <is>
          <t>High, 80 % (GWh)</t>
        </is>
      </c>
      <c r="H1" s="1" t="inlineStr">
        <is>
          <t>Holiday</t>
        </is>
      </c>
      <c r="I1" s="1" t="inlineStr">
        <is>
          <t>Bridge day</t>
        </is>
      </c>
    </row>
    <row r="2">
      <c r="A2" s="2" t="n">
        <v>46314</v>
      </c>
      <c r="B2" t="n">
        <v>1</v>
      </c>
      <c r="C2" s="2" t="n">
        <v>46315</v>
      </c>
      <c r="D2" t="inlineStr">
        <is>
          <t>Tuesday</t>
        </is>
      </c>
      <c r="E2" s="3" t="n">
        <v>1386.7</v>
      </c>
      <c r="F2" s="3" t="n">
        <v>1321.3</v>
      </c>
      <c r="G2" s="3" t="n">
        <v>1458.1</v>
      </c>
      <c r="H2" t="inlineStr"/>
      <c r="I2" t="inlineStr"/>
    </row>
    <row r="3">
      <c r="A3" s="2" t="n">
        <v>46314</v>
      </c>
      <c r="B3" t="n">
        <v>2</v>
      </c>
      <c r="C3" s="2" t="n">
        <v>46316</v>
      </c>
      <c r="D3" t="inlineStr">
        <is>
          <t>Wednesday</t>
        </is>
      </c>
      <c r="E3" s="3" t="n">
        <v>1395.5</v>
      </c>
      <c r="F3" s="3" t="n">
        <v>1329.5</v>
      </c>
      <c r="G3" s="3" t="n">
        <v>1471.5</v>
      </c>
      <c r="H3" t="inlineStr"/>
      <c r="I3" t="inlineStr"/>
    </row>
    <row r="4">
      <c r="A4" s="2" t="n">
        <v>46314</v>
      </c>
      <c r="B4" t="n">
        <v>3</v>
      </c>
      <c r="C4" s="2" t="n">
        <v>46317</v>
      </c>
      <c r="D4" t="inlineStr">
        <is>
          <t>Thursday</t>
        </is>
      </c>
      <c r="E4" s="3" t="n">
        <v>1394.6</v>
      </c>
      <c r="F4" s="3" t="n">
        <v>1326.4</v>
      </c>
      <c r="G4" s="3" t="n">
        <v>1472.9</v>
      </c>
      <c r="H4" t="inlineStr"/>
      <c r="I4" t="inlineStr"/>
    </row>
    <row r="5">
      <c r="A5" s="2" t="n">
        <v>46314</v>
      </c>
      <c r="B5" t="n">
        <v>4</v>
      </c>
      <c r="C5" s="2" t="n">
        <v>46318</v>
      </c>
      <c r="D5" t="inlineStr">
        <is>
          <t>Friday</t>
        </is>
      </c>
      <c r="E5" s="3" t="n">
        <v>1367.4</v>
      </c>
      <c r="F5" s="3" t="n">
        <v>1299.9</v>
      </c>
      <c r="G5" s="3" t="n">
        <v>1441.4</v>
      </c>
      <c r="H5" t="inlineStr"/>
      <c r="I5" t="inlineStr"/>
    </row>
    <row r="6">
      <c r="A6" s="2" t="n">
        <v>46314</v>
      </c>
      <c r="B6" t="n">
        <v>5</v>
      </c>
      <c r="C6" s="2" t="n">
        <v>46319</v>
      </c>
      <c r="D6" t="inlineStr">
        <is>
          <t>Saturday</t>
        </is>
      </c>
      <c r="E6" s="3" t="n">
        <v>1181.1</v>
      </c>
      <c r="F6" s="3" t="n">
        <v>1122</v>
      </c>
      <c r="G6" s="3" t="n">
        <v>1244.5</v>
      </c>
      <c r="H6" t="inlineStr"/>
      <c r="I6" t="inlineStr"/>
    </row>
    <row r="7">
      <c r="A7" s="2" t="n">
        <v>46314</v>
      </c>
      <c r="B7" t="n">
        <v>6</v>
      </c>
      <c r="C7" s="2" t="n">
        <v>46320</v>
      </c>
      <c r="D7" t="inlineStr">
        <is>
          <t>Sunday</t>
        </is>
      </c>
      <c r="E7" s="3" t="n">
        <v>1115.9</v>
      </c>
      <c r="F7" s="3" t="n">
        <v>1059</v>
      </c>
      <c r="G7" s="3" t="n">
        <v>1174.8</v>
      </c>
      <c r="H7" t="inlineStr"/>
      <c r="I7" t="inlineStr"/>
    </row>
    <row r="8">
      <c r="A8" s="2" t="n">
        <v>46314</v>
      </c>
      <c r="B8" t="n">
        <v>7</v>
      </c>
      <c r="C8" s="2" t="n">
        <v>46321</v>
      </c>
      <c r="D8" t="inlineStr">
        <is>
          <t>Monday</t>
        </is>
      </c>
      <c r="E8" s="3" t="n">
        <v>1360.4</v>
      </c>
      <c r="F8" s="3" t="n">
        <v>1286.4</v>
      </c>
      <c r="G8" s="3" t="n">
        <v>1434.9</v>
      </c>
      <c r="H8" t="inlineStr"/>
      <c r="I8" t="inlineStr"/>
    </row>
    <row r="9">
      <c r="E9" s="3" t="n"/>
      <c r="F9" s="3" t="n"/>
      <c r="G9" s="3" t="n"/>
    </row>
    <row r="10">
      <c r="A10" s="4" t="inlineStr">
        <is>
          <t>Total for the week</t>
        </is>
      </c>
      <c r="B10" t="inlineStr"/>
      <c r="C10" t="inlineStr"/>
      <c r="D10" t="inlineStr"/>
      <c r="E10" s="3">
        <f>SUM(E2:E8)</f>
        <v/>
      </c>
      <c r="F10" s="3" t="inlineStr"/>
      <c r="G10" s="3" t="inlineStr"/>
    </row>
    <row r="11">
      <c r="A11" t="inlineStr">
        <is>
          <t>Source: Bundesnetzagentur | SMARD.de (CC BY 4.0). Interval = 10th–90th percentile of backtest errors at that horizon.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2" customWidth="1" min="3" max="3"/>
    <col width="16" customWidth="1" min="4" max="4"/>
    <col width="9" customWidth="1" min="5" max="5"/>
    <col width="20" customWidth="1" min="6" max="6"/>
  </cols>
  <sheetData>
    <row r="1">
      <c r="A1" s="1" t="inlineStr">
        <is>
          <t>Days ahead</t>
        </is>
      </c>
      <c r="B1" s="1" t="inlineStr">
        <is>
          <t>Model</t>
        </is>
      </c>
      <c r="C1" s="1" t="inlineStr">
        <is>
          <t>Days tested</t>
        </is>
      </c>
      <c r="D1" s="1" t="inlineStr">
        <is>
          <t>Mean abs. % error</t>
        </is>
      </c>
      <c r="E1" s="1" t="inlineStr">
        <is>
          <t>Bias %</t>
        </is>
      </c>
      <c r="F1" s="1" t="inlineStr">
        <is>
          <t>90th pct abs. % error</t>
        </is>
      </c>
    </row>
    <row r="2">
      <c r="A2" t="n">
        <v>1</v>
      </c>
      <c r="B2" t="inlineStr">
        <is>
          <t>Same weekday last week</t>
        </is>
      </c>
      <c r="C2" t="n">
        <v>1021</v>
      </c>
      <c r="D2" t="n">
        <v>4.58</v>
      </c>
      <c r="E2" t="n">
        <v>0.15</v>
      </c>
      <c r="F2" t="n">
        <v>9.619999999999999</v>
      </c>
    </row>
    <row r="3">
      <c r="A3" t="n">
        <v>1</v>
      </c>
      <c r="B3" t="inlineStr">
        <is>
          <t>Calendar model (ridge)</t>
        </is>
      </c>
      <c r="C3" t="n">
        <v>1021</v>
      </c>
      <c r="D3" t="n">
        <v>3.16</v>
      </c>
      <c r="E3" t="n">
        <v>0</v>
      </c>
      <c r="F3" t="n">
        <v>6.7</v>
      </c>
    </row>
    <row r="4">
      <c r="A4" t="n">
        <v>1</v>
      </c>
      <c r="B4" t="inlineStr">
        <is>
          <t>Official day-ahead</t>
        </is>
      </c>
      <c r="C4" t="n">
        <v>1021</v>
      </c>
      <c r="D4" t="n">
        <v>3.18</v>
      </c>
      <c r="E4" t="n">
        <v>0.46</v>
      </c>
      <c r="F4" t="n">
        <v>6.77</v>
      </c>
    </row>
    <row r="5">
      <c r="A5" t="n">
        <v>2</v>
      </c>
      <c r="B5" t="inlineStr">
        <is>
          <t>Same weekday last week</t>
        </is>
      </c>
      <c r="C5" t="n">
        <v>1020</v>
      </c>
      <c r="D5" t="n">
        <v>4.57</v>
      </c>
      <c r="E5" t="n">
        <v>0.16</v>
      </c>
      <c r="F5" t="n">
        <v>9.619999999999999</v>
      </c>
    </row>
    <row r="6">
      <c r="A6" t="n">
        <v>2</v>
      </c>
      <c r="B6" t="inlineStr">
        <is>
          <t>Calendar model (ridge)</t>
        </is>
      </c>
      <c r="C6" t="n">
        <v>1020</v>
      </c>
      <c r="D6" t="n">
        <v>3.31</v>
      </c>
      <c r="E6" t="n">
        <v>-0</v>
      </c>
      <c r="F6" t="n">
        <v>7.22</v>
      </c>
    </row>
    <row r="7">
      <c r="A7" t="n">
        <v>3</v>
      </c>
      <c r="B7" t="inlineStr">
        <is>
          <t>Same weekday last week</t>
        </is>
      </c>
      <c r="C7" t="n">
        <v>1019</v>
      </c>
      <c r="D7" t="n">
        <v>4.56</v>
      </c>
      <c r="E7" t="n">
        <v>0.18</v>
      </c>
      <c r="F7" t="n">
        <v>9.6</v>
      </c>
    </row>
    <row r="8">
      <c r="A8" t="n">
        <v>3</v>
      </c>
      <c r="B8" t="inlineStr">
        <is>
          <t>Calendar model (ridge)</t>
        </is>
      </c>
      <c r="C8" t="n">
        <v>1019</v>
      </c>
      <c r="D8" t="n">
        <v>3.41</v>
      </c>
      <c r="E8" t="n">
        <v>-0.01</v>
      </c>
      <c r="F8" t="n">
        <v>7.25</v>
      </c>
    </row>
    <row r="9">
      <c r="A9" t="n">
        <v>4</v>
      </c>
      <c r="B9" t="inlineStr">
        <is>
          <t>Same weekday last week</t>
        </is>
      </c>
      <c r="C9" t="n">
        <v>1018</v>
      </c>
      <c r="D9" t="n">
        <v>4.55</v>
      </c>
      <c r="E9" t="n">
        <v>0.19</v>
      </c>
      <c r="F9" t="n">
        <v>9.49</v>
      </c>
    </row>
    <row r="10">
      <c r="A10" t="n">
        <v>4</v>
      </c>
      <c r="B10" t="inlineStr">
        <is>
          <t>Calendar model (ridge)</t>
        </is>
      </c>
      <c r="C10" t="n">
        <v>1018</v>
      </c>
      <c r="D10" t="n">
        <v>3.45</v>
      </c>
      <c r="E10" t="n">
        <v>-0.01</v>
      </c>
      <c r="F10" t="n">
        <v>7.28</v>
      </c>
    </row>
    <row r="11">
      <c r="A11" t="n">
        <v>5</v>
      </c>
      <c r="B11" t="inlineStr">
        <is>
          <t>Same weekday last week</t>
        </is>
      </c>
      <c r="C11" t="n">
        <v>1017</v>
      </c>
      <c r="D11" t="n">
        <v>4.54</v>
      </c>
      <c r="E11" t="n">
        <v>0.2</v>
      </c>
      <c r="F11" t="n">
        <v>9.369999999999999</v>
      </c>
    </row>
    <row r="12">
      <c r="A12" t="n">
        <v>5</v>
      </c>
      <c r="B12" t="inlineStr">
        <is>
          <t>Calendar model (ridge)</t>
        </is>
      </c>
      <c r="C12" t="n">
        <v>1017</v>
      </c>
      <c r="D12" t="n">
        <v>3.49</v>
      </c>
      <c r="E12" t="n">
        <v>-0</v>
      </c>
      <c r="F12" t="n">
        <v>7.54</v>
      </c>
    </row>
    <row r="13">
      <c r="A13" t="n">
        <v>6</v>
      </c>
      <c r="B13" t="inlineStr">
        <is>
          <t>Same weekday last week</t>
        </is>
      </c>
      <c r="C13" t="n">
        <v>1016</v>
      </c>
      <c r="D13" t="n">
        <v>4.54</v>
      </c>
      <c r="E13" t="n">
        <v>0.21</v>
      </c>
      <c r="F13" t="n">
        <v>9.26</v>
      </c>
    </row>
    <row r="14">
      <c r="A14" t="n">
        <v>6</v>
      </c>
      <c r="B14" t="inlineStr">
        <is>
          <t>Calendar model (ridge)</t>
        </is>
      </c>
      <c r="C14" t="n">
        <v>1016</v>
      </c>
      <c r="D14" t="n">
        <v>3.54</v>
      </c>
      <c r="E14" t="n">
        <v>0</v>
      </c>
      <c r="F14" t="n">
        <v>7.58</v>
      </c>
    </row>
    <row r="15">
      <c r="A15" t="n">
        <v>7</v>
      </c>
      <c r="B15" t="inlineStr">
        <is>
          <t>Same weekday last week</t>
        </is>
      </c>
      <c r="C15" t="n">
        <v>1015</v>
      </c>
      <c r="D15" t="n">
        <v>5.43</v>
      </c>
      <c r="E15" t="n">
        <v>0.24</v>
      </c>
      <c r="F15" t="n">
        <v>11.63</v>
      </c>
    </row>
    <row r="16">
      <c r="A16" t="n">
        <v>7</v>
      </c>
      <c r="B16" t="inlineStr">
        <is>
          <t>Calendar model (ridge)</t>
        </is>
      </c>
      <c r="C16" t="n">
        <v>1015</v>
      </c>
      <c r="D16" t="n">
        <v>3.66</v>
      </c>
      <c r="E16" t="n">
        <v>0.01</v>
      </c>
      <c r="F16" t="n">
        <v>7.89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4" customWidth="1" min="4" max="4"/>
    <col width="18" customWidth="1" min="5" max="5"/>
    <col width="2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Actual (GWh)</t>
        </is>
      </c>
      <c r="C1" s="1" t="inlineStr">
        <is>
          <t>Calendar model (GWh)</t>
        </is>
      </c>
      <c r="D1" s="1" t="inlineStr">
        <is>
          <t>Official (GWh)</t>
        </is>
      </c>
      <c r="E1" s="1" t="inlineStr">
        <is>
          <t>Model abs. % error</t>
        </is>
      </c>
      <c r="F1" s="1" t="inlineStr">
        <is>
          <t>Official abs. % error</t>
        </is>
      </c>
      <c r="G1" s="1" t="inlineStr">
        <is>
          <t>Closer</t>
        </is>
      </c>
    </row>
    <row r="2">
      <c r="A2" s="2" t="n">
        <v>45293</v>
      </c>
      <c r="B2" t="n">
        <v>1271.13</v>
      </c>
      <c r="C2" t="n">
        <v>1214.35</v>
      </c>
      <c r="D2" t="n">
        <v>1309.57</v>
      </c>
      <c r="E2" s="5">
        <f>ABS(C2-B2)/B2</f>
        <v/>
      </c>
      <c r="F2" s="5">
        <f>ABS(D2-B2)/B2</f>
        <v/>
      </c>
      <c r="G2">
        <f>IF(E2&lt;F2,"model","official")</f>
        <v/>
      </c>
    </row>
    <row r="3">
      <c r="A3" s="2" t="n">
        <v>45294</v>
      </c>
      <c r="B3" t="n">
        <v>1354.05</v>
      </c>
      <c r="C3" t="n">
        <v>1214.53</v>
      </c>
      <c r="D3" t="n">
        <v>1345.01</v>
      </c>
      <c r="E3" s="5">
        <f>ABS(C3-B3)/B3</f>
        <v/>
      </c>
      <c r="F3" s="5">
        <f>ABS(D3-B3)/B3</f>
        <v/>
      </c>
      <c r="G3">
        <f>IF(E3&lt;F3,"model","official")</f>
        <v/>
      </c>
    </row>
    <row r="4">
      <c r="A4" s="2" t="n">
        <v>45295</v>
      </c>
      <c r="B4" t="n">
        <v>1381.9</v>
      </c>
      <c r="C4" t="n">
        <v>1246.85</v>
      </c>
      <c r="D4" t="n">
        <v>1355.08</v>
      </c>
      <c r="E4" s="5">
        <f>ABS(C4-B4)/B4</f>
        <v/>
      </c>
      <c r="F4" s="5">
        <f>ABS(D4-B4)/B4</f>
        <v/>
      </c>
      <c r="G4">
        <f>IF(E4&lt;F4,"model","official")</f>
        <v/>
      </c>
    </row>
    <row r="5">
      <c r="A5" s="2" t="n">
        <v>45296</v>
      </c>
      <c r="B5" t="n">
        <v>1366.76</v>
      </c>
      <c r="C5" t="n">
        <v>1252.78</v>
      </c>
      <c r="D5" t="n">
        <v>1341.42</v>
      </c>
      <c r="E5" s="5">
        <f>ABS(C5-B5)/B5</f>
        <v/>
      </c>
      <c r="F5" s="5">
        <f>ABS(D5-B5)/B5</f>
        <v/>
      </c>
      <c r="G5">
        <f>IF(E5&lt;F5,"model","official")</f>
        <v/>
      </c>
    </row>
    <row r="6">
      <c r="A6" s="2" t="n">
        <v>45297</v>
      </c>
      <c r="B6" t="n">
        <v>1248.27</v>
      </c>
      <c r="C6" t="n">
        <v>1185.25</v>
      </c>
      <c r="D6" t="n">
        <v>1198.61</v>
      </c>
      <c r="E6" s="5">
        <f>ABS(C6-B6)/B6</f>
        <v/>
      </c>
      <c r="F6" s="5">
        <f>ABS(D6-B6)/B6</f>
        <v/>
      </c>
      <c r="G6">
        <f>IF(E6&lt;F6,"model","official")</f>
        <v/>
      </c>
    </row>
    <row r="7">
      <c r="A7" s="2" t="n">
        <v>45298</v>
      </c>
      <c r="B7" t="n">
        <v>1229.17</v>
      </c>
      <c r="C7" t="n">
        <v>1067.57</v>
      </c>
      <c r="D7" t="n">
        <v>1105.6</v>
      </c>
      <c r="E7" s="5">
        <f>ABS(C7-B7)/B7</f>
        <v/>
      </c>
      <c r="F7" s="5">
        <f>ABS(D7-B7)/B7</f>
        <v/>
      </c>
      <c r="G7">
        <f>IF(E7&lt;F7,"model","official")</f>
        <v/>
      </c>
    </row>
    <row r="8">
      <c r="A8" s="2" t="n">
        <v>45299</v>
      </c>
      <c r="B8" t="n">
        <v>1500.72</v>
      </c>
      <c r="C8" t="n">
        <v>1307.66</v>
      </c>
      <c r="D8" t="n">
        <v>1371.63</v>
      </c>
      <c r="E8" s="5">
        <f>ABS(C8-B8)/B8</f>
        <v/>
      </c>
      <c r="F8" s="5">
        <f>ABS(D8-B8)/B8</f>
        <v/>
      </c>
      <c r="G8">
        <f>IF(E8&lt;F8,"model","official")</f>
        <v/>
      </c>
    </row>
    <row r="9">
      <c r="A9" s="2" t="n">
        <v>45300</v>
      </c>
      <c r="B9" t="n">
        <v>1535.75</v>
      </c>
      <c r="C9" t="n">
        <v>1376.63</v>
      </c>
      <c r="D9" t="n">
        <v>1394.68</v>
      </c>
      <c r="E9" s="5">
        <f>ABS(C9-B9)/B9</f>
        <v/>
      </c>
      <c r="F9" s="5">
        <f>ABS(D9-B9)/B9</f>
        <v/>
      </c>
      <c r="G9">
        <f>IF(E9&lt;F9,"model","official")</f>
        <v/>
      </c>
    </row>
    <row r="10">
      <c r="A10" s="2" t="n">
        <v>45301</v>
      </c>
      <c r="B10" t="n">
        <v>1537.87</v>
      </c>
      <c r="C10" t="n">
        <v>1452.5</v>
      </c>
      <c r="D10" t="n">
        <v>1432.61</v>
      </c>
      <c r="E10" s="5">
        <f>ABS(C10-B10)/B10</f>
        <v/>
      </c>
      <c r="F10" s="5">
        <f>ABS(D10-B10)/B10</f>
        <v/>
      </c>
      <c r="G10">
        <f>IF(E10&lt;F10,"model","official")</f>
        <v/>
      </c>
    </row>
    <row r="11">
      <c r="A11" s="2" t="n">
        <v>45302</v>
      </c>
      <c r="B11" t="n">
        <v>1553.54</v>
      </c>
      <c r="C11" t="n">
        <v>1493.79</v>
      </c>
      <c r="D11" t="n">
        <v>1426.94</v>
      </c>
      <c r="E11" s="5">
        <f>ABS(C11-B11)/B11</f>
        <v/>
      </c>
      <c r="F11" s="5">
        <f>ABS(D11-B11)/B11</f>
        <v/>
      </c>
      <c r="G11">
        <f>IF(E11&lt;F11,"model","official")</f>
        <v/>
      </c>
    </row>
    <row r="12">
      <c r="A12" s="2" t="n">
        <v>45303</v>
      </c>
      <c r="B12" t="n">
        <v>1537.87</v>
      </c>
      <c r="C12" t="n">
        <v>1493.32</v>
      </c>
      <c r="D12" t="n">
        <v>1409.07</v>
      </c>
      <c r="E12" s="5">
        <f>ABS(C12-B12)/B12</f>
        <v/>
      </c>
      <c r="F12" s="5">
        <f>ABS(D12-B12)/B12</f>
        <v/>
      </c>
      <c r="G12">
        <f>IF(E12&lt;F12,"model","official")</f>
        <v/>
      </c>
    </row>
    <row r="13">
      <c r="A13" s="2" t="n">
        <v>45304</v>
      </c>
      <c r="B13" t="n">
        <v>1386.13</v>
      </c>
      <c r="C13" t="n">
        <v>1320.31</v>
      </c>
      <c r="D13" t="n">
        <v>1224.71</v>
      </c>
      <c r="E13" s="5">
        <f>ABS(C13-B13)/B13</f>
        <v/>
      </c>
      <c r="F13" s="5">
        <f>ABS(D13-B13)/B13</f>
        <v/>
      </c>
      <c r="G13">
        <f>IF(E13&lt;F13,"model","official")</f>
        <v/>
      </c>
    </row>
    <row r="14">
      <c r="A14" s="2" t="n">
        <v>45305</v>
      </c>
      <c r="B14" t="n">
        <v>1303.77</v>
      </c>
      <c r="C14" t="n">
        <v>1263.1</v>
      </c>
      <c r="D14" t="n">
        <v>1164.5</v>
      </c>
      <c r="E14" s="5">
        <f>ABS(C14-B14)/B14</f>
        <v/>
      </c>
      <c r="F14" s="5">
        <f>ABS(D14-B14)/B14</f>
        <v/>
      </c>
      <c r="G14">
        <f>IF(E14&lt;F14,"model","official")</f>
        <v/>
      </c>
    </row>
    <row r="15">
      <c r="A15" s="2" t="n">
        <v>45306</v>
      </c>
      <c r="B15" t="n">
        <v>1570.36</v>
      </c>
      <c r="C15" t="n">
        <v>1562.72</v>
      </c>
      <c r="D15" t="n">
        <v>1443.17</v>
      </c>
      <c r="E15" s="5">
        <f>ABS(C15-B15)/B15</f>
        <v/>
      </c>
      <c r="F15" s="5">
        <f>ABS(D15-B15)/B15</f>
        <v/>
      </c>
      <c r="G15">
        <f>IF(E15&lt;F15,"model","official")</f>
        <v/>
      </c>
    </row>
    <row r="16">
      <c r="A16" s="2" t="n">
        <v>45307</v>
      </c>
      <c r="B16" t="n">
        <v>1555.49</v>
      </c>
      <c r="C16" t="n">
        <v>1606.51</v>
      </c>
      <c r="D16" t="n">
        <v>1473.93</v>
      </c>
      <c r="E16" s="5">
        <f>ABS(C16-B16)/B16</f>
        <v/>
      </c>
      <c r="F16" s="5">
        <f>ABS(D16-B16)/B16</f>
        <v/>
      </c>
      <c r="G16">
        <f>IF(E16&lt;F16,"model","official")</f>
        <v/>
      </c>
    </row>
    <row r="17">
      <c r="A17" s="2" t="n">
        <v>45308</v>
      </c>
      <c r="B17" t="n">
        <v>1594.77</v>
      </c>
      <c r="C17" t="n">
        <v>1617.07</v>
      </c>
      <c r="D17" t="n">
        <v>1468.36</v>
      </c>
      <c r="E17" s="5">
        <f>ABS(C17-B17)/B17</f>
        <v/>
      </c>
      <c r="F17" s="5">
        <f>ABS(D17-B17)/B17</f>
        <v/>
      </c>
      <c r="G17">
        <f>IF(E17&lt;F17,"model","official")</f>
        <v/>
      </c>
    </row>
    <row r="18">
      <c r="A18" s="2" t="n">
        <v>45309</v>
      </c>
      <c r="B18" t="n">
        <v>1565.02</v>
      </c>
      <c r="C18" t="n">
        <v>1621.43</v>
      </c>
      <c r="D18" t="n">
        <v>1477</v>
      </c>
      <c r="E18" s="5">
        <f>ABS(C18-B18)/B18</f>
        <v/>
      </c>
      <c r="F18" s="5">
        <f>ABS(D18-B18)/B18</f>
        <v/>
      </c>
      <c r="G18">
        <f>IF(E18&lt;F18,"model","official")</f>
        <v/>
      </c>
    </row>
    <row r="19">
      <c r="A19" s="2" t="n">
        <v>45310</v>
      </c>
      <c r="B19" t="n">
        <v>1589.96</v>
      </c>
      <c r="C19" t="n">
        <v>1600.14</v>
      </c>
      <c r="D19" t="n">
        <v>1480.06</v>
      </c>
      <c r="E19" s="5">
        <f>ABS(C19-B19)/B19</f>
        <v/>
      </c>
      <c r="F19" s="5">
        <f>ABS(D19-B19)/B19</f>
        <v/>
      </c>
      <c r="G19">
        <f>IF(E19&lt;F19,"model","official")</f>
        <v/>
      </c>
    </row>
    <row r="20">
      <c r="A20" s="2" t="n">
        <v>45311</v>
      </c>
      <c r="B20" t="n">
        <v>1390.53</v>
      </c>
      <c r="C20" t="n">
        <v>1391.84</v>
      </c>
      <c r="D20" t="n">
        <v>1255.23</v>
      </c>
      <c r="E20" s="5">
        <f>ABS(C20-B20)/B20</f>
        <v/>
      </c>
      <c r="F20" s="5">
        <f>ABS(D20-B20)/B20</f>
        <v/>
      </c>
      <c r="G20">
        <f>IF(E20&lt;F20,"model","official")</f>
        <v/>
      </c>
    </row>
    <row r="21">
      <c r="A21" s="2" t="n">
        <v>45312</v>
      </c>
      <c r="B21" t="n">
        <v>1317.76</v>
      </c>
      <c r="C21" t="n">
        <v>1312.69</v>
      </c>
      <c r="D21" t="n">
        <v>1233</v>
      </c>
      <c r="E21" s="5">
        <f>ABS(C21-B21)/B21</f>
        <v/>
      </c>
      <c r="F21" s="5">
        <f>ABS(D21-B21)/B21</f>
        <v/>
      </c>
      <c r="G21">
        <f>IF(E21&lt;F21,"model","official")</f>
        <v/>
      </c>
    </row>
    <row r="22">
      <c r="A22" s="2" t="n">
        <v>45313</v>
      </c>
      <c r="B22" t="n">
        <v>1538.08</v>
      </c>
      <c r="C22" t="n">
        <v>1602.55</v>
      </c>
      <c r="D22" t="n">
        <v>1482.23</v>
      </c>
      <c r="E22" s="5">
        <f>ABS(C22-B22)/B22</f>
        <v/>
      </c>
      <c r="F22" s="5">
        <f>ABS(D22-B22)/B22</f>
        <v/>
      </c>
      <c r="G22">
        <f>IF(E22&lt;F22,"model","official")</f>
        <v/>
      </c>
    </row>
    <row r="23">
      <c r="A23" s="2" t="n">
        <v>45314</v>
      </c>
      <c r="B23" t="n">
        <v>1540.01</v>
      </c>
      <c r="C23" t="n">
        <v>1634.87</v>
      </c>
      <c r="D23" t="n">
        <v>1487.65</v>
      </c>
      <c r="E23" s="5">
        <f>ABS(C23-B23)/B23</f>
        <v/>
      </c>
      <c r="F23" s="5">
        <f>ABS(D23-B23)/B23</f>
        <v/>
      </c>
      <c r="G23">
        <f>IF(E23&lt;F23,"model","official")</f>
        <v/>
      </c>
    </row>
    <row r="24">
      <c r="A24" s="2" t="n">
        <v>45315</v>
      </c>
      <c r="B24" t="n">
        <v>1504.78</v>
      </c>
      <c r="C24" t="n">
        <v>1632.41</v>
      </c>
      <c r="D24" t="n">
        <v>1508.05</v>
      </c>
      <c r="E24" s="5">
        <f>ABS(C24-B24)/B24</f>
        <v/>
      </c>
      <c r="F24" s="5">
        <f>ABS(D24-B24)/B24</f>
        <v/>
      </c>
      <c r="G24">
        <f>IF(E24&lt;F24,"model","official")</f>
        <v/>
      </c>
    </row>
    <row r="25">
      <c r="A25" s="2" t="n">
        <v>45316</v>
      </c>
      <c r="B25" t="n">
        <v>1469.99</v>
      </c>
      <c r="C25" t="n">
        <v>1628.55</v>
      </c>
      <c r="D25" t="n">
        <v>1481.26</v>
      </c>
      <c r="E25" s="5">
        <f>ABS(C25-B25)/B25</f>
        <v/>
      </c>
      <c r="F25" s="5">
        <f>ABS(D25-B25)/B25</f>
        <v/>
      </c>
      <c r="G25">
        <f>IF(E25&lt;F25,"model","official")</f>
        <v/>
      </c>
    </row>
    <row r="26">
      <c r="A26" s="2" t="n">
        <v>45317</v>
      </c>
      <c r="B26" t="n">
        <v>1454.44</v>
      </c>
      <c r="C26" t="n">
        <v>1588.13</v>
      </c>
      <c r="D26" t="n">
        <v>1460.74</v>
      </c>
      <c r="E26" s="5">
        <f>ABS(C26-B26)/B26</f>
        <v/>
      </c>
      <c r="F26" s="5">
        <f>ABS(D26-B26)/B26</f>
        <v/>
      </c>
      <c r="G26">
        <f>IF(E26&lt;F26,"model","official")</f>
        <v/>
      </c>
    </row>
    <row r="27">
      <c r="A27" s="2" t="n">
        <v>45318</v>
      </c>
      <c r="B27" t="n">
        <v>1279.78</v>
      </c>
      <c r="C27" t="n">
        <v>1365.48</v>
      </c>
      <c r="D27" t="n">
        <v>1262.86</v>
      </c>
      <c r="E27" s="5">
        <f>ABS(C27-B27)/B27</f>
        <v/>
      </c>
      <c r="F27" s="5">
        <f>ABS(D27-B27)/B27</f>
        <v/>
      </c>
      <c r="G27">
        <f>IF(E27&lt;F27,"model","official")</f>
        <v/>
      </c>
    </row>
    <row r="28">
      <c r="A28" s="2" t="n">
        <v>45319</v>
      </c>
      <c r="B28" t="n">
        <v>1138.18</v>
      </c>
      <c r="C28" t="n">
        <v>1266.32</v>
      </c>
      <c r="D28" t="n">
        <v>1183.21</v>
      </c>
      <c r="E28" s="5">
        <f>ABS(C28-B28)/B28</f>
        <v/>
      </c>
      <c r="F28" s="5">
        <f>ABS(D28-B28)/B28</f>
        <v/>
      </c>
      <c r="G28">
        <f>IF(E28&lt;F28,"model","official")</f>
        <v/>
      </c>
    </row>
    <row r="29">
      <c r="A29" s="2" t="n">
        <v>45320</v>
      </c>
      <c r="B29" t="n">
        <v>1397.4</v>
      </c>
      <c r="C29" t="n">
        <v>1526.46</v>
      </c>
      <c r="D29" t="n">
        <v>1470.31</v>
      </c>
      <c r="E29" s="5">
        <f>ABS(C29-B29)/B29</f>
        <v/>
      </c>
      <c r="F29" s="5">
        <f>ABS(D29-B29)/B29</f>
        <v/>
      </c>
      <c r="G29">
        <f>IF(E29&lt;F29,"model","official")</f>
        <v/>
      </c>
    </row>
    <row r="30">
      <c r="A30" s="2" t="n">
        <v>45321</v>
      </c>
      <c r="B30" t="n">
        <v>1445.95</v>
      </c>
      <c r="C30" t="n">
        <v>1530.05</v>
      </c>
      <c r="D30" t="n">
        <v>1548.96</v>
      </c>
      <c r="E30" s="5">
        <f>ABS(C30-B30)/B30</f>
        <v/>
      </c>
      <c r="F30" s="5">
        <f>ABS(D30-B30)/B30</f>
        <v/>
      </c>
      <c r="G30">
        <f>IF(E30&lt;F30,"model","official")</f>
        <v/>
      </c>
    </row>
    <row r="31">
      <c r="A31" s="2" t="n">
        <v>45322</v>
      </c>
      <c r="B31" t="n">
        <v>1514.99</v>
      </c>
      <c r="C31" t="n">
        <v>1508.47</v>
      </c>
      <c r="D31" t="n">
        <v>1525.72</v>
      </c>
      <c r="E31" s="5">
        <f>ABS(C31-B31)/B31</f>
        <v/>
      </c>
      <c r="F31" s="5">
        <f>ABS(D31-B31)/B31</f>
        <v/>
      </c>
      <c r="G31">
        <f>IF(E31&lt;F31,"model","official")</f>
        <v/>
      </c>
    </row>
    <row r="32">
      <c r="A32" s="2" t="n">
        <v>45323</v>
      </c>
      <c r="B32" t="n">
        <v>1507.57</v>
      </c>
      <c r="C32" t="n">
        <v>1491.73</v>
      </c>
      <c r="D32" t="n">
        <v>1502.45</v>
      </c>
      <c r="E32" s="5">
        <f>ABS(C32-B32)/B32</f>
        <v/>
      </c>
      <c r="F32" s="5">
        <f>ABS(D32-B32)/B32</f>
        <v/>
      </c>
      <c r="G32">
        <f>IF(E32&lt;F32,"model","official")</f>
        <v/>
      </c>
    </row>
    <row r="33">
      <c r="A33" s="2" t="n">
        <v>45324</v>
      </c>
      <c r="B33" t="n">
        <v>1484.12</v>
      </c>
      <c r="C33" t="n">
        <v>1465.7</v>
      </c>
      <c r="D33" t="n">
        <v>1438.62</v>
      </c>
      <c r="E33" s="5">
        <f>ABS(C33-B33)/B33</f>
        <v/>
      </c>
      <c r="F33" s="5">
        <f>ABS(D33-B33)/B33</f>
        <v/>
      </c>
      <c r="G33">
        <f>IF(E33&lt;F33,"model","official")</f>
        <v/>
      </c>
    </row>
    <row r="34">
      <c r="A34" s="2" t="n">
        <v>45325</v>
      </c>
      <c r="B34" t="n">
        <v>1294.61</v>
      </c>
      <c r="C34" t="n">
        <v>1275.98</v>
      </c>
      <c r="D34" t="n">
        <v>1222.97</v>
      </c>
      <c r="E34" s="5">
        <f>ABS(C34-B34)/B34</f>
        <v/>
      </c>
      <c r="F34" s="5">
        <f>ABS(D34-B34)/B34</f>
        <v/>
      </c>
      <c r="G34">
        <f>IF(E34&lt;F34,"model","official")</f>
        <v/>
      </c>
    </row>
    <row r="35">
      <c r="A35" s="2" t="n">
        <v>45326</v>
      </c>
      <c r="B35" t="n">
        <v>1227.67</v>
      </c>
      <c r="C35" t="n">
        <v>1197.63</v>
      </c>
      <c r="D35" t="n">
        <v>1135.71</v>
      </c>
      <c r="E35" s="5">
        <f>ABS(C35-B35)/B35</f>
        <v/>
      </c>
      <c r="F35" s="5">
        <f>ABS(D35-B35)/B35</f>
        <v/>
      </c>
      <c r="G35">
        <f>IF(E35&lt;F35,"model","official")</f>
        <v/>
      </c>
    </row>
    <row r="36">
      <c r="A36" s="2" t="n">
        <v>45327</v>
      </c>
      <c r="B36" t="n">
        <v>1445.73</v>
      </c>
      <c r="C36" t="n">
        <v>1465.18</v>
      </c>
      <c r="D36" t="n">
        <v>1414.39</v>
      </c>
      <c r="E36" s="5">
        <f>ABS(C36-B36)/B36</f>
        <v/>
      </c>
      <c r="F36" s="5">
        <f>ABS(D36-B36)/B36</f>
        <v/>
      </c>
      <c r="G36">
        <f>IF(E36&lt;F36,"model","official")</f>
        <v/>
      </c>
    </row>
    <row r="37">
      <c r="A37" s="2" t="n">
        <v>45328</v>
      </c>
      <c r="B37" t="n">
        <v>1493.3</v>
      </c>
      <c r="C37" t="n">
        <v>1507.66</v>
      </c>
      <c r="D37" t="n">
        <v>1439.32</v>
      </c>
      <c r="E37" s="5">
        <f>ABS(C37-B37)/B37</f>
        <v/>
      </c>
      <c r="F37" s="5">
        <f>ABS(D37-B37)/B37</f>
        <v/>
      </c>
      <c r="G37">
        <f>IF(E37&lt;F37,"model","official")</f>
        <v/>
      </c>
    </row>
    <row r="38">
      <c r="A38" s="2" t="n">
        <v>45329</v>
      </c>
      <c r="B38" t="n">
        <v>1496.15</v>
      </c>
      <c r="C38" t="n">
        <v>1518.52</v>
      </c>
      <c r="D38" t="n">
        <v>1430.44</v>
      </c>
      <c r="E38" s="5">
        <f>ABS(C38-B38)/B38</f>
        <v/>
      </c>
      <c r="F38" s="5">
        <f>ABS(D38-B38)/B38</f>
        <v/>
      </c>
      <c r="G38">
        <f>IF(E38&lt;F38,"model","official")</f>
        <v/>
      </c>
    </row>
    <row r="39">
      <c r="A39" s="2" t="n">
        <v>45330</v>
      </c>
      <c r="B39" t="n">
        <v>1466.77</v>
      </c>
      <c r="C39" t="n">
        <v>1523.6</v>
      </c>
      <c r="D39" t="n">
        <v>1446.94</v>
      </c>
      <c r="E39" s="5">
        <f>ABS(C39-B39)/B39</f>
        <v/>
      </c>
      <c r="F39" s="5">
        <f>ABS(D39-B39)/B39</f>
        <v/>
      </c>
      <c r="G39">
        <f>IF(E39&lt;F39,"model","official")</f>
        <v/>
      </c>
    </row>
    <row r="40">
      <c r="A40" s="2" t="n">
        <v>45331</v>
      </c>
      <c r="B40" t="n">
        <v>1450.21</v>
      </c>
      <c r="C40" t="n">
        <v>1492.31</v>
      </c>
      <c r="D40" t="n">
        <v>1452.94</v>
      </c>
      <c r="E40" s="5">
        <f>ABS(C40-B40)/B40</f>
        <v/>
      </c>
      <c r="F40" s="5">
        <f>ABS(D40-B40)/B40</f>
        <v/>
      </c>
      <c r="G40">
        <f>IF(E40&lt;F40,"model","official")</f>
        <v/>
      </c>
    </row>
    <row r="41">
      <c r="A41" s="2" t="n">
        <v>45332</v>
      </c>
      <c r="B41" t="n">
        <v>1221.82</v>
      </c>
      <c r="C41" t="n">
        <v>1288.67</v>
      </c>
      <c r="D41" t="n">
        <v>1244.32</v>
      </c>
      <c r="E41" s="5">
        <f>ABS(C41-B41)/B41</f>
        <v/>
      </c>
      <c r="F41" s="5">
        <f>ABS(D41-B41)/B41</f>
        <v/>
      </c>
      <c r="G41">
        <f>IF(E41&lt;F41,"model","official")</f>
        <v/>
      </c>
    </row>
    <row r="42">
      <c r="A42" s="2" t="n">
        <v>45333</v>
      </c>
      <c r="B42" t="n">
        <v>1161.71</v>
      </c>
      <c r="C42" t="n">
        <v>1205.59</v>
      </c>
      <c r="D42" t="n">
        <v>1183.31</v>
      </c>
      <c r="E42" s="5">
        <f>ABS(C42-B42)/B42</f>
        <v/>
      </c>
      <c r="F42" s="5">
        <f>ABS(D42-B42)/B42</f>
        <v/>
      </c>
      <c r="G42">
        <f>IF(E42&lt;F42,"model","official")</f>
        <v/>
      </c>
    </row>
    <row r="43">
      <c r="A43" s="2" t="n">
        <v>45334</v>
      </c>
      <c r="B43" t="n">
        <v>1375.3</v>
      </c>
      <c r="C43" t="n">
        <v>1459.52</v>
      </c>
      <c r="D43" t="n">
        <v>1431.14</v>
      </c>
      <c r="E43" s="5">
        <f>ABS(C43-B43)/B43</f>
        <v/>
      </c>
      <c r="F43" s="5">
        <f>ABS(D43-B43)/B43</f>
        <v/>
      </c>
      <c r="G43">
        <f>IF(E43&lt;F43,"model","official")</f>
        <v/>
      </c>
    </row>
    <row r="44">
      <c r="A44" s="2" t="n">
        <v>45335</v>
      </c>
      <c r="B44" t="n">
        <v>1437.38</v>
      </c>
      <c r="C44" t="n">
        <v>1479.09</v>
      </c>
      <c r="D44" t="n">
        <v>1454.65</v>
      </c>
      <c r="E44" s="5">
        <f>ABS(C44-B44)/B44</f>
        <v/>
      </c>
      <c r="F44" s="5">
        <f>ABS(D44-B44)/B44</f>
        <v/>
      </c>
      <c r="G44">
        <f>IF(E44&lt;F44,"model","official")</f>
        <v/>
      </c>
    </row>
    <row r="45">
      <c r="A45" s="2" t="n">
        <v>45336</v>
      </c>
      <c r="B45" t="n">
        <v>1425.81</v>
      </c>
      <c r="C45" t="n">
        <v>1469.48</v>
      </c>
      <c r="D45" t="n">
        <v>1444.07</v>
      </c>
      <c r="E45" s="5">
        <f>ABS(C45-B45)/B45</f>
        <v/>
      </c>
      <c r="F45" s="5">
        <f>ABS(D45-B45)/B45</f>
        <v/>
      </c>
      <c r="G45">
        <f>IF(E45&lt;F45,"model","official")</f>
        <v/>
      </c>
    </row>
    <row r="46">
      <c r="A46" s="2" t="n">
        <v>45337</v>
      </c>
      <c r="B46" t="n">
        <v>1399.3</v>
      </c>
      <c r="C46" t="n">
        <v>1458.57</v>
      </c>
      <c r="D46" t="n">
        <v>1401.21</v>
      </c>
      <c r="E46" s="5">
        <f>ABS(C46-B46)/B46</f>
        <v/>
      </c>
      <c r="F46" s="5">
        <f>ABS(D46-B46)/B46</f>
        <v/>
      </c>
      <c r="G46">
        <f>IF(E46&lt;F46,"model","official")</f>
        <v/>
      </c>
    </row>
    <row r="47">
      <c r="A47" s="2" t="n">
        <v>45338</v>
      </c>
      <c r="B47" t="n">
        <v>1403.25</v>
      </c>
      <c r="C47" t="n">
        <v>1421.48</v>
      </c>
      <c r="D47" t="n">
        <v>1377.79</v>
      </c>
      <c r="E47" s="5">
        <f>ABS(C47-B47)/B47</f>
        <v/>
      </c>
      <c r="F47" s="5">
        <f>ABS(D47-B47)/B47</f>
        <v/>
      </c>
      <c r="G47">
        <f>IF(E47&lt;F47,"model","official")</f>
        <v/>
      </c>
    </row>
    <row r="48">
      <c r="A48" s="2" t="n">
        <v>45339</v>
      </c>
      <c r="B48" t="n">
        <v>1207.08</v>
      </c>
      <c r="C48" t="n">
        <v>1222.03</v>
      </c>
      <c r="D48" t="n">
        <v>1183.35</v>
      </c>
      <c r="E48" s="5">
        <f>ABS(C48-B48)/B48</f>
        <v/>
      </c>
      <c r="F48" s="5">
        <f>ABS(D48-B48)/B48</f>
        <v/>
      </c>
      <c r="G48">
        <f>IF(E48&lt;F48,"model","official")</f>
        <v/>
      </c>
    </row>
    <row r="49">
      <c r="A49" s="2" t="n">
        <v>45340</v>
      </c>
      <c r="B49" t="n">
        <v>1145.99</v>
      </c>
      <c r="C49" t="n">
        <v>1141.72</v>
      </c>
      <c r="D49" t="n">
        <v>1125.89</v>
      </c>
      <c r="E49" s="5">
        <f>ABS(C49-B49)/B49</f>
        <v/>
      </c>
      <c r="F49" s="5">
        <f>ABS(D49-B49)/B49</f>
        <v/>
      </c>
      <c r="G49">
        <f>IF(E49&lt;F49,"model","official")</f>
        <v/>
      </c>
    </row>
    <row r="50">
      <c r="A50" s="2" t="n">
        <v>45341</v>
      </c>
      <c r="B50" t="n">
        <v>1414.85</v>
      </c>
      <c r="C50" t="n">
        <v>1390.29</v>
      </c>
      <c r="D50" t="n">
        <v>1411.74</v>
      </c>
      <c r="E50" s="5">
        <f>ABS(C50-B50)/B50</f>
        <v/>
      </c>
      <c r="F50" s="5">
        <f>ABS(D50-B50)/B50</f>
        <v/>
      </c>
      <c r="G50">
        <f>IF(E50&lt;F50,"model","official")</f>
        <v/>
      </c>
    </row>
    <row r="51">
      <c r="A51" s="2" t="n">
        <v>45342</v>
      </c>
      <c r="B51" t="n">
        <v>1440.52</v>
      </c>
      <c r="C51" t="n">
        <v>1416.61</v>
      </c>
      <c r="D51" t="n">
        <v>1429</v>
      </c>
      <c r="E51" s="5">
        <f>ABS(C51-B51)/B51</f>
        <v/>
      </c>
      <c r="F51" s="5">
        <f>ABS(D51-B51)/B51</f>
        <v/>
      </c>
      <c r="G51">
        <f>IF(E51&lt;F51,"model","official")</f>
        <v/>
      </c>
    </row>
    <row r="52">
      <c r="A52" s="2" t="n">
        <v>45343</v>
      </c>
      <c r="B52" t="n">
        <v>1458.5</v>
      </c>
      <c r="C52" t="n">
        <v>1422.29</v>
      </c>
      <c r="D52" t="n">
        <v>1420.32</v>
      </c>
      <c r="E52" s="5">
        <f>ABS(C52-B52)/B52</f>
        <v/>
      </c>
      <c r="F52" s="5">
        <f>ABS(D52-B52)/B52</f>
        <v/>
      </c>
      <c r="G52">
        <f>IF(E52&lt;F52,"model","official")</f>
        <v/>
      </c>
    </row>
    <row r="53">
      <c r="A53" s="2" t="n">
        <v>45344</v>
      </c>
      <c r="B53" t="n">
        <v>1456.51</v>
      </c>
      <c r="C53" t="n">
        <v>1420.18</v>
      </c>
      <c r="D53" t="n">
        <v>1435.53</v>
      </c>
      <c r="E53" s="5">
        <f>ABS(C53-B53)/B53</f>
        <v/>
      </c>
      <c r="F53" s="5">
        <f>ABS(D53-B53)/B53</f>
        <v/>
      </c>
      <c r="G53">
        <f>IF(E53&lt;F53,"model","official")</f>
        <v/>
      </c>
    </row>
    <row r="54">
      <c r="A54" s="2" t="n">
        <v>45345</v>
      </c>
      <c r="B54" t="n">
        <v>1445.18</v>
      </c>
      <c r="C54" t="n">
        <v>1399.43</v>
      </c>
      <c r="D54" t="n">
        <v>1426.64</v>
      </c>
      <c r="E54" s="5">
        <f>ABS(C54-B54)/B54</f>
        <v/>
      </c>
      <c r="F54" s="5">
        <f>ABS(D54-B54)/B54</f>
        <v/>
      </c>
      <c r="G54">
        <f>IF(E54&lt;F54,"model","official")</f>
        <v/>
      </c>
    </row>
    <row r="55">
      <c r="A55" s="2" t="n">
        <v>45346</v>
      </c>
      <c r="B55" t="n">
        <v>1220.59</v>
      </c>
      <c r="C55" t="n">
        <v>1219.51</v>
      </c>
      <c r="D55" t="n">
        <v>1206.7</v>
      </c>
      <c r="E55" s="5">
        <f>ABS(C55-B55)/B55</f>
        <v/>
      </c>
      <c r="F55" s="5">
        <f>ABS(D55-B55)/B55</f>
        <v/>
      </c>
      <c r="G55">
        <f>IF(E55&lt;F55,"model","official")</f>
        <v/>
      </c>
    </row>
    <row r="56">
      <c r="A56" s="2" t="n">
        <v>45347</v>
      </c>
      <c r="B56" t="n">
        <v>1158.86</v>
      </c>
      <c r="C56" t="n">
        <v>1149.63</v>
      </c>
      <c r="D56" t="n">
        <v>1135.38</v>
      </c>
      <c r="E56" s="5">
        <f>ABS(C56-B56)/B56</f>
        <v/>
      </c>
      <c r="F56" s="5">
        <f>ABS(D56-B56)/B56</f>
        <v/>
      </c>
      <c r="G56">
        <f>IF(E56&lt;F56,"model","official")</f>
        <v/>
      </c>
    </row>
    <row r="57">
      <c r="A57" s="2" t="n">
        <v>45348</v>
      </c>
      <c r="B57" t="n">
        <v>1399.38</v>
      </c>
      <c r="C57" t="n">
        <v>1406.79</v>
      </c>
      <c r="D57" t="n">
        <v>1391.5</v>
      </c>
      <c r="E57" s="5">
        <f>ABS(C57-B57)/B57</f>
        <v/>
      </c>
      <c r="F57" s="5">
        <f>ABS(D57-B57)/B57</f>
        <v/>
      </c>
      <c r="G57">
        <f>IF(E57&lt;F57,"model","official")</f>
        <v/>
      </c>
    </row>
    <row r="58">
      <c r="A58" s="2" t="n">
        <v>45349</v>
      </c>
      <c r="B58" t="n">
        <v>1429.05</v>
      </c>
      <c r="C58" t="n">
        <v>1437.5</v>
      </c>
      <c r="D58" t="n">
        <v>1414.37</v>
      </c>
      <c r="E58" s="5">
        <f>ABS(C58-B58)/B58</f>
        <v/>
      </c>
      <c r="F58" s="5">
        <f>ABS(D58-B58)/B58</f>
        <v/>
      </c>
      <c r="G58">
        <f>IF(E58&lt;F58,"model","official")</f>
        <v/>
      </c>
    </row>
    <row r="59">
      <c r="A59" s="2" t="n">
        <v>45350</v>
      </c>
      <c r="B59" t="n">
        <v>1436.33</v>
      </c>
      <c r="C59" t="n">
        <v>1437.3</v>
      </c>
      <c r="D59" t="n">
        <v>1415.65</v>
      </c>
      <c r="E59" s="5">
        <f>ABS(C59-B59)/B59</f>
        <v/>
      </c>
      <c r="F59" s="5">
        <f>ABS(D59-B59)/B59</f>
        <v/>
      </c>
      <c r="G59">
        <f>IF(E59&lt;F59,"model","official")</f>
        <v/>
      </c>
    </row>
    <row r="60">
      <c r="A60" s="2" t="n">
        <v>45351</v>
      </c>
      <c r="B60" t="n">
        <v>1453.38</v>
      </c>
      <c r="C60" t="n">
        <v>1434.73</v>
      </c>
      <c r="D60" t="n">
        <v>1420.5</v>
      </c>
      <c r="E60" s="5">
        <f>ABS(C60-B60)/B60</f>
        <v/>
      </c>
      <c r="F60" s="5">
        <f>ABS(D60-B60)/B60</f>
        <v/>
      </c>
      <c r="G60">
        <f>IF(E60&lt;F60,"model","official")</f>
        <v/>
      </c>
    </row>
    <row r="61">
      <c r="A61" s="2" t="n">
        <v>45352</v>
      </c>
      <c r="B61" t="n">
        <v>1399.35</v>
      </c>
      <c r="C61" t="n">
        <v>1405.87</v>
      </c>
      <c r="D61" t="n">
        <v>1386.94</v>
      </c>
      <c r="E61" s="5">
        <f>ABS(C61-B61)/B61</f>
        <v/>
      </c>
      <c r="F61" s="5">
        <f>ABS(D61-B61)/B61</f>
        <v/>
      </c>
      <c r="G61">
        <f>IF(E61&lt;F61,"model","official")</f>
        <v/>
      </c>
    </row>
    <row r="62">
      <c r="A62" s="2" t="n">
        <v>45353</v>
      </c>
      <c r="B62" t="n">
        <v>1185</v>
      </c>
      <c r="C62" t="n">
        <v>1216.39</v>
      </c>
      <c r="D62" t="n">
        <v>1176.21</v>
      </c>
      <c r="E62" s="5">
        <f>ABS(C62-B62)/B62</f>
        <v/>
      </c>
      <c r="F62" s="5">
        <f>ABS(D62-B62)/B62</f>
        <v/>
      </c>
      <c r="G62">
        <f>IF(E62&lt;F62,"model","official")</f>
        <v/>
      </c>
    </row>
    <row r="63">
      <c r="A63" s="2" t="n">
        <v>45354</v>
      </c>
      <c r="B63" t="n">
        <v>1112.72</v>
      </c>
      <c r="C63" t="n">
        <v>1137.04</v>
      </c>
      <c r="D63" t="n">
        <v>1086.95</v>
      </c>
      <c r="E63" s="5">
        <f>ABS(C63-B63)/B63</f>
        <v/>
      </c>
      <c r="F63" s="5">
        <f>ABS(D63-B63)/B63</f>
        <v/>
      </c>
      <c r="G63">
        <f>IF(E63&lt;F63,"model","official")</f>
        <v/>
      </c>
    </row>
    <row r="64">
      <c r="A64" s="2" t="n">
        <v>45355</v>
      </c>
      <c r="B64" t="n">
        <v>1411.42</v>
      </c>
      <c r="C64" t="n">
        <v>1382.23</v>
      </c>
      <c r="D64" t="n">
        <v>1374.22</v>
      </c>
      <c r="E64" s="5">
        <f>ABS(C64-B64)/B64</f>
        <v/>
      </c>
      <c r="F64" s="5">
        <f>ABS(D64-B64)/B64</f>
        <v/>
      </c>
      <c r="G64">
        <f>IF(E64&lt;F64,"model","official")</f>
        <v/>
      </c>
    </row>
    <row r="65">
      <c r="A65" s="2" t="n">
        <v>45356</v>
      </c>
      <c r="B65" t="n">
        <v>1464.54</v>
      </c>
      <c r="C65" t="n">
        <v>1404.21</v>
      </c>
      <c r="D65" t="n">
        <v>1409.91</v>
      </c>
      <c r="E65" s="5">
        <f>ABS(C65-B65)/B65</f>
        <v/>
      </c>
      <c r="F65" s="5">
        <f>ABS(D65-B65)/B65</f>
        <v/>
      </c>
      <c r="G65">
        <f>IF(E65&lt;F65,"model","official")</f>
        <v/>
      </c>
    </row>
    <row r="66">
      <c r="A66" s="2" t="n">
        <v>45357</v>
      </c>
      <c r="B66" t="n">
        <v>1431.88</v>
      </c>
      <c r="C66" t="n">
        <v>1407.69</v>
      </c>
      <c r="D66" t="n">
        <v>1418.3</v>
      </c>
      <c r="E66" s="5">
        <f>ABS(C66-B66)/B66</f>
        <v/>
      </c>
      <c r="F66" s="5">
        <f>ABS(D66-B66)/B66</f>
        <v/>
      </c>
      <c r="G66">
        <f>IF(E66&lt;F66,"model","official")</f>
        <v/>
      </c>
    </row>
    <row r="67">
      <c r="A67" s="2" t="n">
        <v>45358</v>
      </c>
      <c r="B67" t="n">
        <v>1423.68</v>
      </c>
      <c r="C67" t="n">
        <v>1412.99</v>
      </c>
      <c r="D67" t="n">
        <v>1399.01</v>
      </c>
      <c r="E67" s="5">
        <f>ABS(C67-B67)/B67</f>
        <v/>
      </c>
      <c r="F67" s="5">
        <f>ABS(D67-B67)/B67</f>
        <v/>
      </c>
      <c r="G67">
        <f>IF(E67&lt;F67,"model","official")</f>
        <v/>
      </c>
    </row>
    <row r="68">
      <c r="A68" s="2" t="n">
        <v>45359</v>
      </c>
      <c r="B68" t="n">
        <v>1379.27</v>
      </c>
      <c r="C68" t="n">
        <v>1385.39</v>
      </c>
      <c r="D68" t="n">
        <v>1392.75</v>
      </c>
      <c r="E68" s="5">
        <f>ABS(C68-B68)/B68</f>
        <v/>
      </c>
      <c r="F68" s="5">
        <f>ABS(D68-B68)/B68</f>
        <v/>
      </c>
      <c r="G68">
        <f>IF(E68&lt;F68,"model","official")</f>
        <v/>
      </c>
    </row>
    <row r="69">
      <c r="A69" s="2" t="n">
        <v>45360</v>
      </c>
      <c r="B69" t="n">
        <v>1221.12</v>
      </c>
      <c r="C69" t="n">
        <v>1195.86</v>
      </c>
      <c r="D69" t="n">
        <v>1159.36</v>
      </c>
      <c r="E69" s="5">
        <f>ABS(C69-B69)/B69</f>
        <v/>
      </c>
      <c r="F69" s="5">
        <f>ABS(D69-B69)/B69</f>
        <v/>
      </c>
      <c r="G69">
        <f>IF(E69&lt;F69,"model","official")</f>
        <v/>
      </c>
    </row>
    <row r="70">
      <c r="A70" s="2" t="n">
        <v>45361</v>
      </c>
      <c r="B70" t="n">
        <v>1171.14</v>
      </c>
      <c r="C70" t="n">
        <v>1120.4</v>
      </c>
      <c r="D70" t="n">
        <v>1095.51</v>
      </c>
      <c r="E70" s="5">
        <f>ABS(C70-B70)/B70</f>
        <v/>
      </c>
      <c r="F70" s="5">
        <f>ABS(D70-B70)/B70</f>
        <v/>
      </c>
      <c r="G70">
        <f>IF(E70&lt;F70,"model","official")</f>
        <v/>
      </c>
    </row>
    <row r="71">
      <c r="A71" s="2" t="n">
        <v>45362</v>
      </c>
      <c r="B71" t="n">
        <v>1405.39</v>
      </c>
      <c r="C71" t="n">
        <v>1375.33</v>
      </c>
      <c r="D71" t="n">
        <v>1380.8</v>
      </c>
      <c r="E71" s="5">
        <f>ABS(C71-B71)/B71</f>
        <v/>
      </c>
      <c r="F71" s="5">
        <f>ABS(D71-B71)/B71</f>
        <v/>
      </c>
      <c r="G71">
        <f>IF(E71&lt;F71,"model","official")</f>
        <v/>
      </c>
    </row>
    <row r="72">
      <c r="A72" s="2" t="n">
        <v>45363</v>
      </c>
      <c r="B72" t="n">
        <v>1412.51</v>
      </c>
      <c r="C72" t="n">
        <v>1413.39</v>
      </c>
      <c r="D72" t="n">
        <v>1408.81</v>
      </c>
      <c r="E72" s="5">
        <f>ABS(C72-B72)/B72</f>
        <v/>
      </c>
      <c r="F72" s="5">
        <f>ABS(D72-B72)/B72</f>
        <v/>
      </c>
      <c r="G72">
        <f>IF(E72&lt;F72,"model","official")</f>
        <v/>
      </c>
    </row>
    <row r="73">
      <c r="A73" s="2" t="n">
        <v>45364</v>
      </c>
      <c r="B73" t="n">
        <v>1423.99</v>
      </c>
      <c r="C73" t="n">
        <v>1412.87</v>
      </c>
      <c r="D73" t="n">
        <v>1398.18</v>
      </c>
      <c r="E73" s="5">
        <f>ABS(C73-B73)/B73</f>
        <v/>
      </c>
      <c r="F73" s="5">
        <f>ABS(D73-B73)/B73</f>
        <v/>
      </c>
      <c r="G73">
        <f>IF(E73&lt;F73,"model","official")</f>
        <v/>
      </c>
    </row>
    <row r="74">
      <c r="A74" s="2" t="n">
        <v>45365</v>
      </c>
      <c r="B74" t="n">
        <v>1398.29</v>
      </c>
      <c r="C74" t="n">
        <v>1404.94</v>
      </c>
      <c r="D74" t="n">
        <v>1367.24</v>
      </c>
      <c r="E74" s="5">
        <f>ABS(C74-B74)/B74</f>
        <v/>
      </c>
      <c r="F74" s="5">
        <f>ABS(D74-B74)/B74</f>
        <v/>
      </c>
      <c r="G74">
        <f>IF(E74&lt;F74,"model","official")</f>
        <v/>
      </c>
    </row>
    <row r="75">
      <c r="A75" s="2" t="n">
        <v>45366</v>
      </c>
      <c r="B75" t="n">
        <v>1382.7</v>
      </c>
      <c r="C75" t="n">
        <v>1377.77</v>
      </c>
      <c r="D75" t="n">
        <v>1367.98</v>
      </c>
      <c r="E75" s="5">
        <f>ABS(C75-B75)/B75</f>
        <v/>
      </c>
      <c r="F75" s="5">
        <f>ABS(D75-B75)/B75</f>
        <v/>
      </c>
      <c r="G75">
        <f>IF(E75&lt;F75,"model","official")</f>
        <v/>
      </c>
    </row>
    <row r="76">
      <c r="A76" s="2" t="n">
        <v>45367</v>
      </c>
      <c r="B76" t="n">
        <v>1217.16</v>
      </c>
      <c r="C76" t="n">
        <v>1192.54</v>
      </c>
      <c r="D76" t="n">
        <v>1167.44</v>
      </c>
      <c r="E76" s="5">
        <f>ABS(C76-B76)/B76</f>
        <v/>
      </c>
      <c r="F76" s="5">
        <f>ABS(D76-B76)/B76</f>
        <v/>
      </c>
      <c r="G76">
        <f>IF(E76&lt;F76,"model","official")</f>
        <v/>
      </c>
    </row>
    <row r="77">
      <c r="A77" s="2" t="n">
        <v>45368</v>
      </c>
      <c r="B77" t="n">
        <v>1102.7</v>
      </c>
      <c r="C77" t="n">
        <v>1121.34</v>
      </c>
      <c r="D77" t="n">
        <v>1103.97</v>
      </c>
      <c r="E77" s="5">
        <f>ABS(C77-B77)/B77</f>
        <v/>
      </c>
      <c r="F77" s="5">
        <f>ABS(D77-B77)/B77</f>
        <v/>
      </c>
      <c r="G77">
        <f>IF(E77&lt;F77,"model","official")</f>
        <v/>
      </c>
    </row>
    <row r="78">
      <c r="A78" s="2" t="n">
        <v>45369</v>
      </c>
      <c r="B78" t="n">
        <v>1369.29</v>
      </c>
      <c r="C78" t="n">
        <v>1367.78</v>
      </c>
      <c r="D78" t="n">
        <v>1341.44</v>
      </c>
      <c r="E78" s="5">
        <f>ABS(C78-B78)/B78</f>
        <v/>
      </c>
      <c r="F78" s="5">
        <f>ABS(D78-B78)/B78</f>
        <v/>
      </c>
      <c r="G78">
        <f>IF(E78&lt;F78,"model","official")</f>
        <v/>
      </c>
    </row>
    <row r="79">
      <c r="A79" s="2" t="n">
        <v>45370</v>
      </c>
      <c r="B79" t="n">
        <v>1387.82</v>
      </c>
      <c r="C79" t="n">
        <v>1386.04</v>
      </c>
      <c r="D79" t="n">
        <v>1369.14</v>
      </c>
      <c r="E79" s="5">
        <f>ABS(C79-B79)/B79</f>
        <v/>
      </c>
      <c r="F79" s="5">
        <f>ABS(D79-B79)/B79</f>
        <v/>
      </c>
      <c r="G79">
        <f>IF(E79&lt;F79,"model","official")</f>
        <v/>
      </c>
    </row>
    <row r="80">
      <c r="A80" s="2" t="n">
        <v>45371</v>
      </c>
      <c r="B80" t="n">
        <v>1355.59</v>
      </c>
      <c r="C80" t="n">
        <v>1383.57</v>
      </c>
      <c r="D80" t="n">
        <v>1363.27</v>
      </c>
      <c r="E80" s="5">
        <f>ABS(C80-B80)/B80</f>
        <v/>
      </c>
      <c r="F80" s="5">
        <f>ABS(D80-B80)/B80</f>
        <v/>
      </c>
      <c r="G80">
        <f>IF(E80&lt;F80,"model","official")</f>
        <v/>
      </c>
    </row>
    <row r="81">
      <c r="A81" s="2" t="n">
        <v>45372</v>
      </c>
      <c r="B81" t="n">
        <v>1368.86</v>
      </c>
      <c r="C81" t="n">
        <v>1379.12</v>
      </c>
      <c r="D81" t="n">
        <v>1359.66</v>
      </c>
      <c r="E81" s="5">
        <f>ABS(C81-B81)/B81</f>
        <v/>
      </c>
      <c r="F81" s="5">
        <f>ABS(D81-B81)/B81</f>
        <v/>
      </c>
      <c r="G81">
        <f>IF(E81&lt;F81,"model","official")</f>
        <v/>
      </c>
    </row>
    <row r="82">
      <c r="A82" s="2" t="n">
        <v>45373</v>
      </c>
      <c r="B82" t="n">
        <v>1368.78</v>
      </c>
      <c r="C82" t="n">
        <v>1345.64</v>
      </c>
      <c r="D82" t="n">
        <v>1334.84</v>
      </c>
      <c r="E82" s="5">
        <f>ABS(C82-B82)/B82</f>
        <v/>
      </c>
      <c r="F82" s="5">
        <f>ABS(D82-B82)/B82</f>
        <v/>
      </c>
      <c r="G82">
        <f>IF(E82&lt;F82,"model","official")</f>
        <v/>
      </c>
    </row>
    <row r="83">
      <c r="A83" s="2" t="n">
        <v>45374</v>
      </c>
      <c r="B83" t="n">
        <v>1183.29</v>
      </c>
      <c r="C83" t="n">
        <v>1164.18</v>
      </c>
      <c r="D83" t="n">
        <v>1187.05</v>
      </c>
      <c r="E83" s="5">
        <f>ABS(C83-B83)/B83</f>
        <v/>
      </c>
      <c r="F83" s="5">
        <f>ABS(D83-B83)/B83</f>
        <v/>
      </c>
      <c r="G83">
        <f>IF(E83&lt;F83,"model","official")</f>
        <v/>
      </c>
    </row>
    <row r="84">
      <c r="A84" s="2" t="n">
        <v>45375</v>
      </c>
      <c r="B84" t="n">
        <v>1136.91</v>
      </c>
      <c r="C84" t="n">
        <v>1090.15</v>
      </c>
      <c r="D84" t="n">
        <v>1113.77</v>
      </c>
      <c r="E84" s="5">
        <f>ABS(C84-B84)/B84</f>
        <v/>
      </c>
      <c r="F84" s="5">
        <f>ABS(D84-B84)/B84</f>
        <v/>
      </c>
      <c r="G84">
        <f>IF(E84&lt;F84,"model","official")</f>
        <v/>
      </c>
    </row>
    <row r="85">
      <c r="A85" s="2" t="n">
        <v>45376</v>
      </c>
      <c r="B85" t="n">
        <v>1322.88</v>
      </c>
      <c r="C85" t="n">
        <v>1328.03</v>
      </c>
      <c r="D85" t="n">
        <v>1339.75</v>
      </c>
      <c r="E85" s="5">
        <f>ABS(C85-B85)/B85</f>
        <v/>
      </c>
      <c r="F85" s="5">
        <f>ABS(D85-B85)/B85</f>
        <v/>
      </c>
      <c r="G85">
        <f>IF(E85&lt;F85,"model","official")</f>
        <v/>
      </c>
    </row>
    <row r="86">
      <c r="A86" s="2" t="n">
        <v>45377</v>
      </c>
      <c r="B86" t="n">
        <v>1376.8</v>
      </c>
      <c r="C86" t="n">
        <v>1358.84</v>
      </c>
      <c r="D86" t="n">
        <v>1365.62</v>
      </c>
      <c r="E86" s="5">
        <f>ABS(C86-B86)/B86</f>
        <v/>
      </c>
      <c r="F86" s="5">
        <f>ABS(D86-B86)/B86</f>
        <v/>
      </c>
      <c r="G86">
        <f>IF(E86&lt;F86,"model","official")</f>
        <v/>
      </c>
    </row>
    <row r="87">
      <c r="A87" s="2" t="n">
        <v>45378</v>
      </c>
      <c r="B87" t="n">
        <v>1368.2</v>
      </c>
      <c r="C87" t="n">
        <v>1353.33</v>
      </c>
      <c r="D87" t="n">
        <v>1366.93</v>
      </c>
      <c r="E87" s="5">
        <f>ABS(C87-B87)/B87</f>
        <v/>
      </c>
      <c r="F87" s="5">
        <f>ABS(D87-B87)/B87</f>
        <v/>
      </c>
      <c r="G87">
        <f>IF(E87&lt;F87,"model","official")</f>
        <v/>
      </c>
    </row>
    <row r="88">
      <c r="A88" s="2" t="n">
        <v>45379</v>
      </c>
      <c r="B88" t="n">
        <v>1352.21</v>
      </c>
      <c r="C88" t="n">
        <v>1352.68</v>
      </c>
      <c r="D88" t="n">
        <v>1345.37</v>
      </c>
      <c r="E88" s="5">
        <f>ABS(C88-B88)/B88</f>
        <v/>
      </c>
      <c r="F88" s="5">
        <f>ABS(D88-B88)/B88</f>
        <v/>
      </c>
      <c r="G88">
        <f>IF(E88&lt;F88,"model","official")</f>
        <v/>
      </c>
    </row>
    <row r="89">
      <c r="A89" s="2" t="n">
        <v>45380</v>
      </c>
      <c r="B89" t="n">
        <v>1122.03</v>
      </c>
      <c r="C89" t="n">
        <v>1135.79</v>
      </c>
      <c r="D89" t="n">
        <v>1125.15</v>
      </c>
      <c r="E89" s="5">
        <f>ABS(C89-B89)/B89</f>
        <v/>
      </c>
      <c r="F89" s="5">
        <f>ABS(D89-B89)/B89</f>
        <v/>
      </c>
      <c r="G89">
        <f>IF(E89&lt;F89,"model","official")</f>
        <v/>
      </c>
    </row>
    <row r="90">
      <c r="A90" s="2" t="n">
        <v>45381</v>
      </c>
      <c r="B90" t="n">
        <v>1072.35</v>
      </c>
      <c r="C90" t="n">
        <v>1152.74</v>
      </c>
      <c r="D90" t="n">
        <v>1143.19</v>
      </c>
      <c r="E90" s="5">
        <f>ABS(C90-B90)/B90</f>
        <v/>
      </c>
      <c r="F90" s="5">
        <f>ABS(D90-B90)/B90</f>
        <v/>
      </c>
      <c r="G90">
        <f>IF(E90&lt;F90,"model","official")</f>
        <v/>
      </c>
    </row>
    <row r="91">
      <c r="A91" s="2" t="n">
        <v>45382</v>
      </c>
      <c r="B91" t="n">
        <v>864.72</v>
      </c>
      <c r="C91" t="n">
        <v>1056.33</v>
      </c>
      <c r="D91" t="n">
        <v>988.33</v>
      </c>
      <c r="E91" s="5">
        <f>ABS(C91-B91)/B91</f>
        <v/>
      </c>
      <c r="F91" s="5">
        <f>ABS(D91-B91)/B91</f>
        <v/>
      </c>
      <c r="G91">
        <f>IF(E91&lt;F91,"model","official")</f>
        <v/>
      </c>
    </row>
    <row r="92">
      <c r="A92" s="2" t="n">
        <v>45383</v>
      </c>
      <c r="B92" t="n">
        <v>1041.49</v>
      </c>
      <c r="C92" t="n">
        <v>1085.89</v>
      </c>
      <c r="D92" t="n">
        <v>1107.32</v>
      </c>
      <c r="E92" s="5">
        <f>ABS(C92-B92)/B92</f>
        <v/>
      </c>
      <c r="F92" s="5">
        <f>ABS(D92-B92)/B92</f>
        <v/>
      </c>
      <c r="G92">
        <f>IF(E92&lt;F92,"model","official")</f>
        <v/>
      </c>
    </row>
    <row r="93">
      <c r="A93" s="2" t="n">
        <v>45384</v>
      </c>
      <c r="B93" t="n">
        <v>1326.67</v>
      </c>
      <c r="C93" t="n">
        <v>1263.44</v>
      </c>
      <c r="D93" t="n">
        <v>1290.72</v>
      </c>
      <c r="E93" s="5">
        <f>ABS(C93-B93)/B93</f>
        <v/>
      </c>
      <c r="F93" s="5">
        <f>ABS(D93-B93)/B93</f>
        <v/>
      </c>
      <c r="G93">
        <f>IF(E93&lt;F93,"model","official")</f>
        <v/>
      </c>
    </row>
    <row r="94">
      <c r="A94" s="2" t="n">
        <v>45385</v>
      </c>
      <c r="B94" t="n">
        <v>1349.41</v>
      </c>
      <c r="C94" t="n">
        <v>1225.52</v>
      </c>
      <c r="D94" t="n">
        <v>1311.14</v>
      </c>
      <c r="E94" s="5">
        <f>ABS(C94-B94)/B94</f>
        <v/>
      </c>
      <c r="F94" s="5">
        <f>ABS(D94-B94)/B94</f>
        <v/>
      </c>
      <c r="G94">
        <f>IF(E94&lt;F94,"model","official")</f>
        <v/>
      </c>
    </row>
    <row r="95">
      <c r="A95" s="2" t="n">
        <v>45386</v>
      </c>
      <c r="B95" t="n">
        <v>1355.95</v>
      </c>
      <c r="C95" t="n">
        <v>1218.31</v>
      </c>
      <c r="D95" t="n">
        <v>1305.76</v>
      </c>
      <c r="E95" s="5">
        <f>ABS(C95-B95)/B95</f>
        <v/>
      </c>
      <c r="F95" s="5">
        <f>ABS(D95-B95)/B95</f>
        <v/>
      </c>
      <c r="G95">
        <f>IF(E95&lt;F95,"model","official")</f>
        <v/>
      </c>
    </row>
    <row r="96">
      <c r="A96" s="2" t="n">
        <v>45387</v>
      </c>
      <c r="B96" t="n">
        <v>1321.41</v>
      </c>
      <c r="C96" t="n">
        <v>1185.78</v>
      </c>
      <c r="D96" t="n">
        <v>1324.42</v>
      </c>
      <c r="E96" s="5">
        <f>ABS(C96-B96)/B96</f>
        <v/>
      </c>
      <c r="F96" s="5">
        <f>ABS(D96-B96)/B96</f>
        <v/>
      </c>
      <c r="G96">
        <f>IF(E96&lt;F96,"model","official")</f>
        <v/>
      </c>
    </row>
    <row r="97">
      <c r="A97" s="2" t="n">
        <v>45388</v>
      </c>
      <c r="B97" t="n">
        <v>1113.23</v>
      </c>
      <c r="C97" t="n">
        <v>1033.37</v>
      </c>
      <c r="D97" t="n">
        <v>1108.46</v>
      </c>
      <c r="E97" s="5">
        <f>ABS(C97-B97)/B97</f>
        <v/>
      </c>
      <c r="F97" s="5">
        <f>ABS(D97-B97)/B97</f>
        <v/>
      </c>
      <c r="G97">
        <f>IF(E97&lt;F97,"model","official")</f>
        <v/>
      </c>
    </row>
    <row r="98">
      <c r="A98" s="2" t="n">
        <v>45389</v>
      </c>
      <c r="B98" t="n">
        <v>1043.02</v>
      </c>
      <c r="C98" t="n">
        <v>987.47</v>
      </c>
      <c r="D98" t="n">
        <v>1039.57</v>
      </c>
      <c r="E98" s="5">
        <f>ABS(C98-B98)/B98</f>
        <v/>
      </c>
      <c r="F98" s="5">
        <f>ABS(D98-B98)/B98</f>
        <v/>
      </c>
      <c r="G98">
        <f>IF(E98&lt;F98,"model","official")</f>
        <v/>
      </c>
    </row>
    <row r="99">
      <c r="A99" s="2" t="n">
        <v>45390</v>
      </c>
      <c r="B99" t="n">
        <v>1265.13</v>
      </c>
      <c r="C99" t="n">
        <v>1212.45</v>
      </c>
      <c r="D99" t="n">
        <v>1290.59</v>
      </c>
      <c r="E99" s="5">
        <f>ABS(C99-B99)/B99</f>
        <v/>
      </c>
      <c r="F99" s="5">
        <f>ABS(D99-B99)/B99</f>
        <v/>
      </c>
      <c r="G99">
        <f>IF(E99&lt;F99,"model","official")</f>
        <v/>
      </c>
    </row>
    <row r="100">
      <c r="A100" s="2" t="n">
        <v>45391</v>
      </c>
      <c r="B100" t="n">
        <v>1339.95</v>
      </c>
      <c r="C100" t="n">
        <v>1276.73</v>
      </c>
      <c r="D100" t="n">
        <v>1318.01</v>
      </c>
      <c r="E100" s="5">
        <f>ABS(C100-B100)/B100</f>
        <v/>
      </c>
      <c r="F100" s="5">
        <f>ABS(D100-B100)/B100</f>
        <v/>
      </c>
      <c r="G100">
        <f>IF(E100&lt;F100,"model","official")</f>
        <v/>
      </c>
    </row>
    <row r="101">
      <c r="A101" s="2" t="n">
        <v>45392</v>
      </c>
      <c r="B101" t="n">
        <v>1349.3</v>
      </c>
      <c r="C101" t="n">
        <v>1312.56</v>
      </c>
      <c r="D101" t="n">
        <v>1310.35</v>
      </c>
      <c r="E101" s="5">
        <f>ABS(C101-B101)/B101</f>
        <v/>
      </c>
      <c r="F101" s="5">
        <f>ABS(D101-B101)/B101</f>
        <v/>
      </c>
      <c r="G101">
        <f>IF(E101&lt;F101,"model","official")</f>
        <v/>
      </c>
    </row>
    <row r="102">
      <c r="A102" s="2" t="n">
        <v>45393</v>
      </c>
      <c r="B102" t="n">
        <v>1359.91</v>
      </c>
      <c r="C102" t="n">
        <v>1315.59</v>
      </c>
      <c r="D102" t="n">
        <v>1339.48</v>
      </c>
      <c r="E102" s="5">
        <f>ABS(C102-B102)/B102</f>
        <v/>
      </c>
      <c r="F102" s="5">
        <f>ABS(D102-B102)/B102</f>
        <v/>
      </c>
      <c r="G102">
        <f>IF(E102&lt;F102,"model","official")</f>
        <v/>
      </c>
    </row>
    <row r="103">
      <c r="A103" s="2" t="n">
        <v>45394</v>
      </c>
      <c r="B103" t="n">
        <v>1320.19</v>
      </c>
      <c r="C103" t="n">
        <v>1292.6</v>
      </c>
      <c r="D103" t="n">
        <v>1331.83</v>
      </c>
      <c r="E103" s="5">
        <f>ABS(C103-B103)/B103</f>
        <v/>
      </c>
      <c r="F103" s="5">
        <f>ABS(D103-B103)/B103</f>
        <v/>
      </c>
      <c r="G103">
        <f>IF(E103&lt;F103,"model","official")</f>
        <v/>
      </c>
    </row>
    <row r="104">
      <c r="A104" s="2" t="n">
        <v>45395</v>
      </c>
      <c r="B104" t="n">
        <v>1105.67</v>
      </c>
      <c r="C104" t="n">
        <v>1120.37</v>
      </c>
      <c r="D104" t="n">
        <v>1111.61</v>
      </c>
      <c r="E104" s="5">
        <f>ABS(C104-B104)/B104</f>
        <v/>
      </c>
      <c r="F104" s="5">
        <f>ABS(D104-B104)/B104</f>
        <v/>
      </c>
      <c r="G104">
        <f>IF(E104&lt;F104,"model","official")</f>
        <v/>
      </c>
    </row>
    <row r="105">
      <c r="A105" s="2" t="n">
        <v>45396</v>
      </c>
      <c r="B105" t="n">
        <v>1056.62</v>
      </c>
      <c r="C105" t="n">
        <v>1053.04</v>
      </c>
      <c r="D105" t="n">
        <v>1040.93</v>
      </c>
      <c r="E105" s="5">
        <f>ABS(C105-B105)/B105</f>
        <v/>
      </c>
      <c r="F105" s="5">
        <f>ABS(D105-B105)/B105</f>
        <v/>
      </c>
      <c r="G105">
        <f>IF(E105&lt;F105,"model","official")</f>
        <v/>
      </c>
    </row>
    <row r="106">
      <c r="A106" s="2" t="n">
        <v>45397</v>
      </c>
      <c r="B106" t="n">
        <v>1288.91</v>
      </c>
      <c r="C106" t="n">
        <v>1286.41</v>
      </c>
      <c r="D106" t="n">
        <v>1304.88</v>
      </c>
      <c r="E106" s="5">
        <f>ABS(C106-B106)/B106</f>
        <v/>
      </c>
      <c r="F106" s="5">
        <f>ABS(D106-B106)/B106</f>
        <v/>
      </c>
      <c r="G106">
        <f>IF(E106&lt;F106,"model","official")</f>
        <v/>
      </c>
    </row>
    <row r="107">
      <c r="A107" s="2" t="n">
        <v>45398</v>
      </c>
      <c r="B107" t="n">
        <v>1368.47</v>
      </c>
      <c r="C107" t="n">
        <v>1318.96</v>
      </c>
      <c r="D107" t="n">
        <v>1357.01</v>
      </c>
      <c r="E107" s="5">
        <f>ABS(C107-B107)/B107</f>
        <v/>
      </c>
      <c r="F107" s="5">
        <f>ABS(D107-B107)/B107</f>
        <v/>
      </c>
      <c r="G107">
        <f>IF(E107&lt;F107,"model","official")</f>
        <v/>
      </c>
    </row>
    <row r="108">
      <c r="A108" s="2" t="n">
        <v>45399</v>
      </c>
      <c r="B108" t="n">
        <v>1347.07</v>
      </c>
      <c r="C108" t="n">
        <v>1325.87</v>
      </c>
      <c r="D108" t="n">
        <v>1347.26</v>
      </c>
      <c r="E108" s="5">
        <f>ABS(C108-B108)/B108</f>
        <v/>
      </c>
      <c r="F108" s="5">
        <f>ABS(D108-B108)/B108</f>
        <v/>
      </c>
      <c r="G108">
        <f>IF(E108&lt;F108,"model","official")</f>
        <v/>
      </c>
    </row>
    <row r="109">
      <c r="A109" s="2" t="n">
        <v>45400</v>
      </c>
      <c r="B109" t="n">
        <v>1352.11</v>
      </c>
      <c r="C109" t="n">
        <v>1331.41</v>
      </c>
      <c r="D109" t="n">
        <v>1347.6</v>
      </c>
      <c r="E109" s="5">
        <f>ABS(C109-B109)/B109</f>
        <v/>
      </c>
      <c r="F109" s="5">
        <f>ABS(D109-B109)/B109</f>
        <v/>
      </c>
      <c r="G109">
        <f>IF(E109&lt;F109,"model","official")</f>
        <v/>
      </c>
    </row>
    <row r="110">
      <c r="A110" s="2" t="n">
        <v>45401</v>
      </c>
      <c r="B110" t="n">
        <v>1366.39</v>
      </c>
      <c r="C110" t="n">
        <v>1307.72</v>
      </c>
      <c r="D110" t="n">
        <v>1343.51</v>
      </c>
      <c r="E110" s="5">
        <f>ABS(C110-B110)/B110</f>
        <v/>
      </c>
      <c r="F110" s="5">
        <f>ABS(D110-B110)/B110</f>
        <v/>
      </c>
      <c r="G110">
        <f>IF(E110&lt;F110,"model","official")</f>
        <v/>
      </c>
    </row>
    <row r="111">
      <c r="A111" s="2" t="n">
        <v>45402</v>
      </c>
      <c r="B111" t="n">
        <v>1150.68</v>
      </c>
      <c r="C111" t="n">
        <v>1131.81</v>
      </c>
      <c r="D111" t="n">
        <v>1142.58</v>
      </c>
      <c r="E111" s="5">
        <f>ABS(C111-B111)/B111</f>
        <v/>
      </c>
      <c r="F111" s="5">
        <f>ABS(D111-B111)/B111</f>
        <v/>
      </c>
      <c r="G111">
        <f>IF(E111&lt;F111,"model","official")</f>
        <v/>
      </c>
    </row>
    <row r="112">
      <c r="A112" s="2" t="n">
        <v>45403</v>
      </c>
      <c r="B112" t="n">
        <v>1090.2</v>
      </c>
      <c r="C112" t="n">
        <v>1070.23</v>
      </c>
      <c r="D112" t="n">
        <v>1057.35</v>
      </c>
      <c r="E112" s="5">
        <f>ABS(C112-B112)/B112</f>
        <v/>
      </c>
      <c r="F112" s="5">
        <f>ABS(D112-B112)/B112</f>
        <v/>
      </c>
      <c r="G112">
        <f>IF(E112&lt;F112,"model","official")</f>
        <v/>
      </c>
    </row>
    <row r="113">
      <c r="A113" s="2" t="n">
        <v>45404</v>
      </c>
      <c r="B113" t="n">
        <v>1329.94</v>
      </c>
      <c r="C113" t="n">
        <v>1315.2</v>
      </c>
      <c r="D113" t="n">
        <v>1316.54</v>
      </c>
      <c r="E113" s="5">
        <f>ABS(C113-B113)/B113</f>
        <v/>
      </c>
      <c r="F113" s="5">
        <f>ABS(D113-B113)/B113</f>
        <v/>
      </c>
      <c r="G113">
        <f>IF(E113&lt;F113,"model","official")</f>
        <v/>
      </c>
    </row>
    <row r="114">
      <c r="A114" s="2" t="n">
        <v>45405</v>
      </c>
      <c r="B114" t="n">
        <v>1362.94</v>
      </c>
      <c r="C114" t="n">
        <v>1353.04</v>
      </c>
      <c r="D114" t="n">
        <v>1345.08</v>
      </c>
      <c r="E114" s="5">
        <f>ABS(C114-B114)/B114</f>
        <v/>
      </c>
      <c r="F114" s="5">
        <f>ABS(D114-B114)/B114</f>
        <v/>
      </c>
      <c r="G114">
        <f>IF(E114&lt;F114,"model","official")</f>
        <v/>
      </c>
    </row>
    <row r="115">
      <c r="A115" s="2" t="n">
        <v>45406</v>
      </c>
      <c r="B115" t="n">
        <v>1374.62</v>
      </c>
      <c r="C115" t="n">
        <v>1361.16</v>
      </c>
      <c r="D115" t="n">
        <v>1342.9</v>
      </c>
      <c r="E115" s="5">
        <f>ABS(C115-B115)/B115</f>
        <v/>
      </c>
      <c r="F115" s="5">
        <f>ABS(D115-B115)/B115</f>
        <v/>
      </c>
      <c r="G115">
        <f>IF(E115&lt;F115,"model","official")</f>
        <v/>
      </c>
    </row>
    <row r="116">
      <c r="A116" s="2" t="n">
        <v>45407</v>
      </c>
      <c r="B116" t="n">
        <v>1359.41</v>
      </c>
      <c r="C116" t="n">
        <v>1362.02</v>
      </c>
      <c r="D116" t="n">
        <v>1329.28</v>
      </c>
      <c r="E116" s="5">
        <f>ABS(C116-B116)/B116</f>
        <v/>
      </c>
      <c r="F116" s="5">
        <f>ABS(D116-B116)/B116</f>
        <v/>
      </c>
      <c r="G116">
        <f>IF(E116&lt;F116,"model","official")</f>
        <v/>
      </c>
    </row>
    <row r="117">
      <c r="A117" s="2" t="n">
        <v>45408</v>
      </c>
      <c r="B117" t="n">
        <v>1317.47</v>
      </c>
      <c r="C117" t="n">
        <v>1344.48</v>
      </c>
      <c r="D117" t="n">
        <v>1333.64</v>
      </c>
      <c r="E117" s="5">
        <f>ABS(C117-B117)/B117</f>
        <v/>
      </c>
      <c r="F117" s="5">
        <f>ABS(D117-B117)/B117</f>
        <v/>
      </c>
      <c r="G117">
        <f>IF(E117&lt;F117,"model","official")</f>
        <v/>
      </c>
    </row>
    <row r="118">
      <c r="A118" s="2" t="n">
        <v>45409</v>
      </c>
      <c r="B118" t="n">
        <v>1104.07</v>
      </c>
      <c r="C118" t="n">
        <v>1165.21</v>
      </c>
      <c r="D118" t="n">
        <v>1116.83</v>
      </c>
      <c r="E118" s="5">
        <f>ABS(C118-B118)/B118</f>
        <v/>
      </c>
      <c r="F118" s="5">
        <f>ABS(D118-B118)/B118</f>
        <v/>
      </c>
      <c r="G118">
        <f>IF(E118&lt;F118,"model","official")</f>
        <v/>
      </c>
    </row>
    <row r="119">
      <c r="A119" s="2" t="n">
        <v>45410</v>
      </c>
      <c r="B119" t="n">
        <v>1055.04</v>
      </c>
      <c r="C119" t="n">
        <v>1089.54</v>
      </c>
      <c r="D119" t="n">
        <v>1040.48</v>
      </c>
      <c r="E119" s="5">
        <f>ABS(C119-B119)/B119</f>
        <v/>
      </c>
      <c r="F119" s="5">
        <f>ABS(D119-B119)/B119</f>
        <v/>
      </c>
      <c r="G119">
        <f>IF(E119&lt;F119,"model","official")</f>
        <v/>
      </c>
    </row>
    <row r="120">
      <c r="A120" s="2" t="n">
        <v>45411</v>
      </c>
      <c r="B120" t="n">
        <v>1249.77</v>
      </c>
      <c r="C120" t="n">
        <v>1325.99</v>
      </c>
      <c r="D120" t="n">
        <v>1271.59</v>
      </c>
      <c r="E120" s="5">
        <f>ABS(C120-B120)/B120</f>
        <v/>
      </c>
      <c r="F120" s="5">
        <f>ABS(D120-B120)/B120</f>
        <v/>
      </c>
      <c r="G120">
        <f>IF(E120&lt;F120,"model","official")</f>
        <v/>
      </c>
    </row>
    <row r="121">
      <c r="A121" s="2" t="n">
        <v>45412</v>
      </c>
      <c r="B121" t="n">
        <v>1265.94</v>
      </c>
      <c r="C121" t="n">
        <v>1351.39</v>
      </c>
      <c r="D121" t="n">
        <v>1274.1</v>
      </c>
      <c r="E121" s="5">
        <f>ABS(C121-B121)/B121</f>
        <v/>
      </c>
      <c r="F121" s="5">
        <f>ABS(D121-B121)/B121</f>
        <v/>
      </c>
      <c r="G121">
        <f>IF(E121&lt;F121,"model","official")</f>
        <v/>
      </c>
    </row>
    <row r="122">
      <c r="A122" s="2" t="n">
        <v>45413</v>
      </c>
      <c r="B122" t="n">
        <v>977.65</v>
      </c>
      <c r="C122" t="n">
        <v>1142.99</v>
      </c>
      <c r="D122" t="n">
        <v>1044.83</v>
      </c>
      <c r="E122" s="5">
        <f>ABS(C122-B122)/B122</f>
        <v/>
      </c>
      <c r="F122" s="5">
        <f>ABS(D122-B122)/B122</f>
        <v/>
      </c>
      <c r="G122">
        <f>IF(E122&lt;F122,"model","official")</f>
        <v/>
      </c>
    </row>
    <row r="123">
      <c r="A123" s="2" t="n">
        <v>45414</v>
      </c>
      <c r="B123" t="n">
        <v>1248.29</v>
      </c>
      <c r="C123" t="n">
        <v>1329.74</v>
      </c>
      <c r="D123" t="n">
        <v>1289.8</v>
      </c>
      <c r="E123" s="5">
        <f>ABS(C123-B123)/B123</f>
        <v/>
      </c>
      <c r="F123" s="5">
        <f>ABS(D123-B123)/B123</f>
        <v/>
      </c>
      <c r="G123">
        <f>IF(E123&lt;F123,"model","official")</f>
        <v/>
      </c>
    </row>
    <row r="124">
      <c r="A124" s="2" t="n">
        <v>45415</v>
      </c>
      <c r="B124" t="n">
        <v>1287.55</v>
      </c>
      <c r="C124" t="n">
        <v>1249.36</v>
      </c>
      <c r="D124" t="n">
        <v>1318.76</v>
      </c>
      <c r="E124" s="5">
        <f>ABS(C124-B124)/B124</f>
        <v/>
      </c>
      <c r="F124" s="5">
        <f>ABS(D124-B124)/B124</f>
        <v/>
      </c>
      <c r="G124">
        <f>IF(E124&lt;F124,"model","official")</f>
        <v/>
      </c>
    </row>
    <row r="125">
      <c r="A125" s="2" t="n">
        <v>45416</v>
      </c>
      <c r="B125" t="n">
        <v>1079.41</v>
      </c>
      <c r="C125" t="n">
        <v>1067.78</v>
      </c>
      <c r="D125" t="n">
        <v>1093.14</v>
      </c>
      <c r="E125" s="5">
        <f>ABS(C125-B125)/B125</f>
        <v/>
      </c>
      <c r="F125" s="5">
        <f>ABS(D125-B125)/B125</f>
        <v/>
      </c>
      <c r="G125">
        <f>IF(E125&lt;F125,"model","official")</f>
        <v/>
      </c>
    </row>
    <row r="126">
      <c r="A126" s="2" t="n">
        <v>45417</v>
      </c>
      <c r="B126" t="n">
        <v>1031.53</v>
      </c>
      <c r="C126" t="n">
        <v>1000.38</v>
      </c>
      <c r="D126" t="n">
        <v>1035.12</v>
      </c>
      <c r="E126" s="5">
        <f>ABS(C126-B126)/B126</f>
        <v/>
      </c>
      <c r="F126" s="5">
        <f>ABS(D126-B126)/B126</f>
        <v/>
      </c>
      <c r="G126">
        <f>IF(E126&lt;F126,"model","official")</f>
        <v/>
      </c>
    </row>
    <row r="127">
      <c r="A127" s="2" t="n">
        <v>45418</v>
      </c>
      <c r="B127" t="n">
        <v>1289.58</v>
      </c>
      <c r="C127" t="n">
        <v>1218.27</v>
      </c>
      <c r="D127" t="n">
        <v>1277.74</v>
      </c>
      <c r="E127" s="5">
        <f>ABS(C127-B127)/B127</f>
        <v/>
      </c>
      <c r="F127" s="5">
        <f>ABS(D127-B127)/B127</f>
        <v/>
      </c>
      <c r="G127">
        <f>IF(E127&lt;F127,"model","official")</f>
        <v/>
      </c>
    </row>
    <row r="128">
      <c r="A128" s="2" t="n">
        <v>45419</v>
      </c>
      <c r="B128" t="n">
        <v>1316.89</v>
      </c>
      <c r="C128" t="n">
        <v>1242.04</v>
      </c>
      <c r="D128" t="n">
        <v>1297.37</v>
      </c>
      <c r="E128" s="5">
        <f>ABS(C128-B128)/B128</f>
        <v/>
      </c>
      <c r="F128" s="5">
        <f>ABS(D128-B128)/B128</f>
        <v/>
      </c>
      <c r="G128">
        <f>IF(E128&lt;F128,"model","official")</f>
        <v/>
      </c>
    </row>
    <row r="129">
      <c r="A129" s="2" t="n">
        <v>45420</v>
      </c>
      <c r="B129" t="n">
        <v>1278.74</v>
      </c>
      <c r="C129" t="n">
        <v>1236.25</v>
      </c>
      <c r="D129" t="n">
        <v>1297.65</v>
      </c>
      <c r="E129" s="5">
        <f>ABS(C129-B129)/B129</f>
        <v/>
      </c>
      <c r="F129" s="5">
        <f>ABS(D129-B129)/B129</f>
        <v/>
      </c>
      <c r="G129">
        <f>IF(E129&lt;F129,"model","official")</f>
        <v/>
      </c>
    </row>
    <row r="130">
      <c r="A130" s="2" t="n">
        <v>45421</v>
      </c>
      <c r="B130" t="n">
        <v>1016.76</v>
      </c>
      <c r="C130" t="n">
        <v>1070.5</v>
      </c>
      <c r="D130" t="n">
        <v>1048.72</v>
      </c>
      <c r="E130" s="5">
        <f>ABS(C130-B130)/B130</f>
        <v/>
      </c>
      <c r="F130" s="5">
        <f>ABS(D130-B130)/B130</f>
        <v/>
      </c>
      <c r="G130">
        <f>IF(E130&lt;F130,"model","official")</f>
        <v/>
      </c>
    </row>
    <row r="131">
      <c r="A131" s="2" t="n">
        <v>45422</v>
      </c>
      <c r="B131" t="n">
        <v>1097.76</v>
      </c>
      <c r="C131" t="n">
        <v>1142.97</v>
      </c>
      <c r="D131" t="n">
        <v>1261.72</v>
      </c>
      <c r="E131" s="5">
        <f>ABS(C131-B131)/B131</f>
        <v/>
      </c>
      <c r="F131" s="5">
        <f>ABS(D131-B131)/B131</f>
        <v/>
      </c>
      <c r="G131">
        <f>IF(E131&lt;F131,"model","official")</f>
        <v/>
      </c>
    </row>
    <row r="132">
      <c r="A132" s="2" t="n">
        <v>45423</v>
      </c>
      <c r="B132" t="n">
        <v>1016.89</v>
      </c>
      <c r="C132" t="n">
        <v>1081.07</v>
      </c>
      <c r="D132" t="n">
        <v>1081.14</v>
      </c>
      <c r="E132" s="5">
        <f>ABS(C132-B132)/B132</f>
        <v/>
      </c>
      <c r="F132" s="5">
        <f>ABS(D132-B132)/B132</f>
        <v/>
      </c>
      <c r="G132">
        <f>IF(E132&lt;F132,"model","official")</f>
        <v/>
      </c>
    </row>
    <row r="133">
      <c r="A133" s="2" t="n">
        <v>45424</v>
      </c>
      <c r="B133" t="n">
        <v>973.13</v>
      </c>
      <c r="C133" t="n">
        <v>993.9400000000001</v>
      </c>
      <c r="D133" t="n">
        <v>1015.42</v>
      </c>
      <c r="E133" s="5">
        <f>ABS(C133-B133)/B133</f>
        <v/>
      </c>
      <c r="F133" s="5">
        <f>ABS(D133-B133)/B133</f>
        <v/>
      </c>
      <c r="G133">
        <f>IF(E133&lt;F133,"model","official")</f>
        <v/>
      </c>
    </row>
    <row r="134">
      <c r="A134" s="2" t="n">
        <v>45425</v>
      </c>
      <c r="B134" t="n">
        <v>1260.03</v>
      </c>
      <c r="C134" t="n">
        <v>1207.6</v>
      </c>
      <c r="D134" t="n">
        <v>1282.23</v>
      </c>
      <c r="E134" s="5">
        <f>ABS(C134-B134)/B134</f>
        <v/>
      </c>
      <c r="F134" s="5">
        <f>ABS(D134-B134)/B134</f>
        <v/>
      </c>
      <c r="G134">
        <f>IF(E134&lt;F134,"model","official")</f>
        <v/>
      </c>
    </row>
    <row r="135">
      <c r="A135" s="2" t="n">
        <v>45426</v>
      </c>
      <c r="B135" t="n">
        <v>1293.65</v>
      </c>
      <c r="C135" t="n">
        <v>1226.16</v>
      </c>
      <c r="D135" t="n">
        <v>1304.72</v>
      </c>
      <c r="E135" s="5">
        <f>ABS(C135-B135)/B135</f>
        <v/>
      </c>
      <c r="F135" s="5">
        <f>ABS(D135-B135)/B135</f>
        <v/>
      </c>
      <c r="G135">
        <f>IF(E135&lt;F135,"model","official")</f>
        <v/>
      </c>
    </row>
    <row r="136">
      <c r="A136" s="2" t="n">
        <v>45427</v>
      </c>
      <c r="B136" t="n">
        <v>1287.05</v>
      </c>
      <c r="C136" t="n">
        <v>1222.48</v>
      </c>
      <c r="D136" t="n">
        <v>1297.88</v>
      </c>
      <c r="E136" s="5">
        <f>ABS(C136-B136)/B136</f>
        <v/>
      </c>
      <c r="F136" s="5">
        <f>ABS(D136-B136)/B136</f>
        <v/>
      </c>
      <c r="G136">
        <f>IF(E136&lt;F136,"model","official")</f>
        <v/>
      </c>
    </row>
    <row r="137">
      <c r="A137" s="2" t="n">
        <v>45428</v>
      </c>
      <c r="B137" t="n">
        <v>1310.09</v>
      </c>
      <c r="C137" t="n">
        <v>1207.49</v>
      </c>
      <c r="D137" t="n">
        <v>1320.61</v>
      </c>
      <c r="E137" s="5">
        <f>ABS(C137-B137)/B137</f>
        <v/>
      </c>
      <c r="F137" s="5">
        <f>ABS(D137-B137)/B137</f>
        <v/>
      </c>
      <c r="G137">
        <f>IF(E137&lt;F137,"model","official")</f>
        <v/>
      </c>
    </row>
    <row r="138">
      <c r="A138" s="2" t="n">
        <v>45429</v>
      </c>
      <c r="B138" t="n">
        <v>1278.61</v>
      </c>
      <c r="C138" t="n">
        <v>1192.49</v>
      </c>
      <c r="D138" t="n">
        <v>1345.55</v>
      </c>
      <c r="E138" s="5">
        <f>ABS(C138-B138)/B138</f>
        <v/>
      </c>
      <c r="F138" s="5">
        <f>ABS(D138-B138)/B138</f>
        <v/>
      </c>
      <c r="G138">
        <f>IF(E138&lt;F138,"model","official")</f>
        <v/>
      </c>
    </row>
    <row r="139">
      <c r="A139" s="2" t="n">
        <v>45430</v>
      </c>
      <c r="B139" t="n">
        <v>1073.76</v>
      </c>
      <c r="C139" t="n">
        <v>1073.02</v>
      </c>
      <c r="D139" t="n">
        <v>1084.76</v>
      </c>
      <c r="E139" s="5">
        <f>ABS(C139-B139)/B139</f>
        <v/>
      </c>
      <c r="F139" s="5">
        <f>ABS(D139-B139)/B139</f>
        <v/>
      </c>
      <c r="G139">
        <f>IF(E139&lt;F139,"model","official")</f>
        <v/>
      </c>
    </row>
    <row r="140">
      <c r="A140" s="2" t="n">
        <v>45431</v>
      </c>
      <c r="B140" t="n">
        <v>955.87</v>
      </c>
      <c r="C140" t="n">
        <v>1029.57</v>
      </c>
      <c r="D140" t="n">
        <v>963.0599999999999</v>
      </c>
      <c r="E140" s="5">
        <f>ABS(C140-B140)/B140</f>
        <v/>
      </c>
      <c r="F140" s="5">
        <f>ABS(D140-B140)/B140</f>
        <v/>
      </c>
      <c r="G140">
        <f>IF(E140&lt;F140,"model","official")</f>
        <v/>
      </c>
    </row>
    <row r="141">
      <c r="A141" s="2" t="n">
        <v>45432</v>
      </c>
      <c r="B141" t="n">
        <v>964.39</v>
      </c>
      <c r="C141" t="n">
        <v>1080.64</v>
      </c>
      <c r="D141" t="n">
        <v>1043.41</v>
      </c>
      <c r="E141" s="5">
        <f>ABS(C141-B141)/B141</f>
        <v/>
      </c>
      <c r="F141" s="5">
        <f>ABS(D141-B141)/B141</f>
        <v/>
      </c>
      <c r="G141">
        <f>IF(E141&lt;F141,"model","official")</f>
        <v/>
      </c>
    </row>
    <row r="142">
      <c r="A142" s="2" t="n">
        <v>45433</v>
      </c>
      <c r="B142" t="n">
        <v>1261.56</v>
      </c>
      <c r="C142" t="n">
        <v>1295.65</v>
      </c>
      <c r="D142" t="n">
        <v>1287.14</v>
      </c>
      <c r="E142" s="5">
        <f>ABS(C142-B142)/B142</f>
        <v/>
      </c>
      <c r="F142" s="5">
        <f>ABS(D142-B142)/B142</f>
        <v/>
      </c>
      <c r="G142">
        <f>IF(E142&lt;F142,"model","official")</f>
        <v/>
      </c>
    </row>
    <row r="143">
      <c r="A143" s="2" t="n">
        <v>45434</v>
      </c>
      <c r="B143" t="n">
        <v>1307.17</v>
      </c>
      <c r="C143" t="n">
        <v>1252.96</v>
      </c>
      <c r="D143" t="n">
        <v>1321.73</v>
      </c>
      <c r="E143" s="5">
        <f>ABS(C143-B143)/B143</f>
        <v/>
      </c>
      <c r="F143" s="5">
        <f>ABS(D143-B143)/B143</f>
        <v/>
      </c>
      <c r="G143">
        <f>IF(E143&lt;F143,"model","official")</f>
        <v/>
      </c>
    </row>
    <row r="144">
      <c r="A144" s="2" t="n">
        <v>45435</v>
      </c>
      <c r="B144" t="n">
        <v>1235.9</v>
      </c>
      <c r="C144" t="n">
        <v>1250.1</v>
      </c>
      <c r="D144" t="n">
        <v>1305.24</v>
      </c>
      <c r="E144" s="5">
        <f>ABS(C144-B144)/B144</f>
        <v/>
      </c>
      <c r="F144" s="5">
        <f>ABS(D144-B144)/B144</f>
        <v/>
      </c>
      <c r="G144">
        <f>IF(E144&lt;F144,"model","official")</f>
        <v/>
      </c>
    </row>
    <row r="145">
      <c r="A145" s="2" t="n">
        <v>45436</v>
      </c>
      <c r="B145" t="n">
        <v>1212.96</v>
      </c>
      <c r="C145" t="n">
        <v>1230.64</v>
      </c>
      <c r="D145" t="n">
        <v>1318.96</v>
      </c>
      <c r="E145" s="5">
        <f>ABS(C145-B145)/B145</f>
        <v/>
      </c>
      <c r="F145" s="5">
        <f>ABS(D145-B145)/B145</f>
        <v/>
      </c>
      <c r="G145">
        <f>IF(E145&lt;F145,"model","official")</f>
        <v/>
      </c>
    </row>
    <row r="146">
      <c r="A146" s="2" t="n">
        <v>45437</v>
      </c>
      <c r="B146" t="n">
        <v>992.1900000000001</v>
      </c>
      <c r="C146" t="n">
        <v>1054.75</v>
      </c>
      <c r="D146" t="n">
        <v>1088.4</v>
      </c>
      <c r="E146" s="5">
        <f>ABS(C146-B146)/B146</f>
        <v/>
      </c>
      <c r="F146" s="5">
        <f>ABS(D146-B146)/B146</f>
        <v/>
      </c>
      <c r="G146">
        <f>IF(E146&lt;F146,"model","official")</f>
        <v/>
      </c>
    </row>
    <row r="147">
      <c r="A147" s="2" t="n">
        <v>45438</v>
      </c>
      <c r="B147" t="n">
        <v>972.83</v>
      </c>
      <c r="C147" t="n">
        <v>981.58</v>
      </c>
      <c r="D147" t="n">
        <v>1007.8</v>
      </c>
      <c r="E147" s="5">
        <f>ABS(C147-B147)/B147</f>
        <v/>
      </c>
      <c r="F147" s="5">
        <f>ABS(D147-B147)/B147</f>
        <v/>
      </c>
      <c r="G147">
        <f>IF(E147&lt;F147,"model","official")</f>
        <v/>
      </c>
    </row>
    <row r="148">
      <c r="A148" s="2" t="n">
        <v>45439</v>
      </c>
      <c r="B148" t="n">
        <v>1209.86</v>
      </c>
      <c r="C148" t="n">
        <v>1180.24</v>
      </c>
      <c r="D148" t="n">
        <v>1275.42</v>
      </c>
      <c r="E148" s="5">
        <f>ABS(C148-B148)/B148</f>
        <v/>
      </c>
      <c r="F148" s="5">
        <f>ABS(D148-B148)/B148</f>
        <v/>
      </c>
      <c r="G148">
        <f>IF(E148&lt;F148,"model","official")</f>
        <v/>
      </c>
    </row>
    <row r="149">
      <c r="A149" s="2" t="n">
        <v>45440</v>
      </c>
      <c r="B149" t="n">
        <v>1208.77</v>
      </c>
      <c r="C149" t="n">
        <v>1219.01</v>
      </c>
      <c r="D149" t="n">
        <v>1307.51</v>
      </c>
      <c r="E149" s="5">
        <f>ABS(C149-B149)/B149</f>
        <v/>
      </c>
      <c r="F149" s="5">
        <f>ABS(D149-B149)/B149</f>
        <v/>
      </c>
      <c r="G149">
        <f>IF(E149&lt;F149,"model","official")</f>
        <v/>
      </c>
    </row>
    <row r="150">
      <c r="A150" s="2" t="n">
        <v>45441</v>
      </c>
      <c r="B150" t="n">
        <v>1279.52</v>
      </c>
      <c r="C150" t="n">
        <v>1257.81</v>
      </c>
      <c r="D150" t="n">
        <v>1314.69</v>
      </c>
      <c r="E150" s="5">
        <f>ABS(C150-B150)/B150</f>
        <v/>
      </c>
      <c r="F150" s="5">
        <f>ABS(D150-B150)/B150</f>
        <v/>
      </c>
      <c r="G150">
        <f>IF(E150&lt;F150,"model","official")</f>
        <v/>
      </c>
    </row>
    <row r="151">
      <c r="A151" s="2" t="n">
        <v>45442</v>
      </c>
      <c r="B151" t="n">
        <v>1097.44</v>
      </c>
      <c r="C151" t="n">
        <v>1118.56</v>
      </c>
      <c r="D151" t="n">
        <v>1123.41</v>
      </c>
      <c r="E151" s="5">
        <f>ABS(C151-B151)/B151</f>
        <v/>
      </c>
      <c r="F151" s="5">
        <f>ABS(D151-B151)/B151</f>
        <v/>
      </c>
      <c r="G151">
        <f>IF(E151&lt;F151,"model","official")</f>
        <v/>
      </c>
    </row>
    <row r="152">
      <c r="A152" s="2" t="n">
        <v>45443</v>
      </c>
      <c r="B152" t="n">
        <v>1167.68</v>
      </c>
      <c r="C152" t="n">
        <v>1221.83</v>
      </c>
      <c r="D152" t="n">
        <v>1245.88</v>
      </c>
      <c r="E152" s="5">
        <f>ABS(C152-B152)/B152</f>
        <v/>
      </c>
      <c r="F152" s="5">
        <f>ABS(D152-B152)/B152</f>
        <v/>
      </c>
      <c r="G152">
        <f>IF(E152&lt;F152,"model","official")</f>
        <v/>
      </c>
    </row>
    <row r="153">
      <c r="A153" s="2" t="n">
        <v>45444</v>
      </c>
      <c r="B153" t="n">
        <v>1072.78</v>
      </c>
      <c r="C153" t="n">
        <v>1037.85</v>
      </c>
      <c r="D153" t="n">
        <v>1097.62</v>
      </c>
      <c r="E153" s="5">
        <f>ABS(C153-B153)/B153</f>
        <v/>
      </c>
      <c r="F153" s="5">
        <f>ABS(D153-B153)/B153</f>
        <v/>
      </c>
      <c r="G153">
        <f>IF(E153&lt;F153,"model","official")</f>
        <v/>
      </c>
    </row>
    <row r="154">
      <c r="A154" s="2" t="n">
        <v>45445</v>
      </c>
      <c r="B154" t="n">
        <v>1037.86</v>
      </c>
      <c r="C154" t="n">
        <v>971.33</v>
      </c>
      <c r="D154" t="n">
        <v>1028.99</v>
      </c>
      <c r="E154" s="5">
        <f>ABS(C154-B154)/B154</f>
        <v/>
      </c>
      <c r="F154" s="5">
        <f>ABS(D154-B154)/B154</f>
        <v/>
      </c>
      <c r="G154">
        <f>IF(E154&lt;F154,"model","official")</f>
        <v/>
      </c>
    </row>
    <row r="155">
      <c r="A155" s="2" t="n">
        <v>45446</v>
      </c>
      <c r="B155" t="n">
        <v>1261.54</v>
      </c>
      <c r="C155" t="n">
        <v>1199.86</v>
      </c>
      <c r="D155" t="n">
        <v>1287.84</v>
      </c>
      <c r="E155" s="5">
        <f>ABS(C155-B155)/B155</f>
        <v/>
      </c>
      <c r="F155" s="5">
        <f>ABS(D155-B155)/B155</f>
        <v/>
      </c>
      <c r="G155">
        <f>IF(E155&lt;F155,"model","official")</f>
        <v/>
      </c>
    </row>
    <row r="156">
      <c r="A156" s="2" t="n">
        <v>45447</v>
      </c>
      <c r="B156" t="n">
        <v>1253.16</v>
      </c>
      <c r="C156" t="n">
        <v>1234</v>
      </c>
      <c r="D156" t="n">
        <v>1314.22</v>
      </c>
      <c r="E156" s="5">
        <f>ABS(C156-B156)/B156</f>
        <v/>
      </c>
      <c r="F156" s="5">
        <f>ABS(D156-B156)/B156</f>
        <v/>
      </c>
      <c r="G156">
        <f>IF(E156&lt;F156,"model","official")</f>
        <v/>
      </c>
    </row>
    <row r="157">
      <c r="A157" s="2" t="n">
        <v>45448</v>
      </c>
      <c r="B157" t="n">
        <v>1290.51</v>
      </c>
      <c r="C157" t="n">
        <v>1244.82</v>
      </c>
      <c r="D157" t="n">
        <v>1306.86</v>
      </c>
      <c r="E157" s="5">
        <f>ABS(C157-B157)/B157</f>
        <v/>
      </c>
      <c r="F157" s="5">
        <f>ABS(D157-B157)/B157</f>
        <v/>
      </c>
      <c r="G157">
        <f>IF(E157&lt;F157,"model","official")</f>
        <v/>
      </c>
    </row>
    <row r="158">
      <c r="A158" s="2" t="n">
        <v>45449</v>
      </c>
      <c r="B158" t="n">
        <v>1254.61</v>
      </c>
      <c r="C158" t="n">
        <v>1244.94</v>
      </c>
      <c r="D158" t="n">
        <v>1320.55</v>
      </c>
      <c r="E158" s="5">
        <f>ABS(C158-B158)/B158</f>
        <v/>
      </c>
      <c r="F158" s="5">
        <f>ABS(D158-B158)/B158</f>
        <v/>
      </c>
      <c r="G158">
        <f>IF(E158&lt;F158,"model","official")</f>
        <v/>
      </c>
    </row>
    <row r="159">
      <c r="A159" s="2" t="n">
        <v>45450</v>
      </c>
      <c r="B159" t="n">
        <v>1223.69</v>
      </c>
      <c r="C159" t="n">
        <v>1227.54</v>
      </c>
      <c r="D159" t="n">
        <v>1304.23</v>
      </c>
      <c r="E159" s="5">
        <f>ABS(C159-B159)/B159</f>
        <v/>
      </c>
      <c r="F159" s="5">
        <f>ABS(D159-B159)/B159</f>
        <v/>
      </c>
      <c r="G159">
        <f>IF(E159&lt;F159,"model","official")</f>
        <v/>
      </c>
    </row>
    <row r="160">
      <c r="A160" s="2" t="n">
        <v>45451</v>
      </c>
      <c r="B160" t="n">
        <v>1041.59</v>
      </c>
      <c r="C160" t="n">
        <v>1084.12</v>
      </c>
      <c r="D160" t="n">
        <v>1095.72</v>
      </c>
      <c r="E160" s="5">
        <f>ABS(C160-B160)/B160</f>
        <v/>
      </c>
      <c r="F160" s="5">
        <f>ABS(D160-B160)/B160</f>
        <v/>
      </c>
      <c r="G160">
        <f>IF(E160&lt;F160,"model","official")</f>
        <v/>
      </c>
    </row>
    <row r="161">
      <c r="A161" s="2" t="n">
        <v>45452</v>
      </c>
      <c r="B161" t="n">
        <v>984.09</v>
      </c>
      <c r="C161" t="n">
        <v>1026.13</v>
      </c>
      <c r="D161" t="n">
        <v>1041.01</v>
      </c>
      <c r="E161" s="5">
        <f>ABS(C161-B161)/B161</f>
        <v/>
      </c>
      <c r="F161" s="5">
        <f>ABS(D161-B161)/B161</f>
        <v/>
      </c>
      <c r="G161">
        <f>IF(E161&lt;F161,"model","official")</f>
        <v/>
      </c>
    </row>
    <row r="162">
      <c r="A162" s="2" t="n">
        <v>45453</v>
      </c>
      <c r="B162" t="n">
        <v>1238.77</v>
      </c>
      <c r="C162" t="n">
        <v>1249.51</v>
      </c>
      <c r="D162" t="n">
        <v>1292.19</v>
      </c>
      <c r="E162" s="5">
        <f>ABS(C162-B162)/B162</f>
        <v/>
      </c>
      <c r="F162" s="5">
        <f>ABS(D162-B162)/B162</f>
        <v/>
      </c>
      <c r="G162">
        <f>IF(E162&lt;F162,"model","official")</f>
        <v/>
      </c>
    </row>
    <row r="163">
      <c r="A163" s="2" t="n">
        <v>45454</v>
      </c>
      <c r="B163" t="n">
        <v>1288.72</v>
      </c>
      <c r="C163" t="n">
        <v>1266.71</v>
      </c>
      <c r="D163" t="n">
        <v>1309.44</v>
      </c>
      <c r="E163" s="5">
        <f>ABS(C163-B163)/B163</f>
        <v/>
      </c>
      <c r="F163" s="5">
        <f>ABS(D163-B163)/B163</f>
        <v/>
      </c>
      <c r="G163">
        <f>IF(E163&lt;F163,"model","official")</f>
        <v/>
      </c>
    </row>
    <row r="164">
      <c r="A164" s="2" t="n">
        <v>45455</v>
      </c>
      <c r="B164" t="n">
        <v>1297.18</v>
      </c>
      <c r="C164" t="n">
        <v>1265.16</v>
      </c>
      <c r="D164" t="n">
        <v>1313.87</v>
      </c>
      <c r="E164" s="5">
        <f>ABS(C164-B164)/B164</f>
        <v/>
      </c>
      <c r="F164" s="5">
        <f>ABS(D164-B164)/B164</f>
        <v/>
      </c>
      <c r="G164">
        <f>IF(E164&lt;F164,"model","official")</f>
        <v/>
      </c>
    </row>
    <row r="165">
      <c r="A165" s="2" t="n">
        <v>45456</v>
      </c>
      <c r="B165" t="n">
        <v>1265.4</v>
      </c>
      <c r="C165" t="n">
        <v>1269.44</v>
      </c>
      <c r="D165" t="n">
        <v>1313.14</v>
      </c>
      <c r="E165" s="5">
        <f>ABS(C165-B165)/B165</f>
        <v/>
      </c>
      <c r="F165" s="5">
        <f>ABS(D165-B165)/B165</f>
        <v/>
      </c>
      <c r="G165">
        <f>IF(E165&lt;F165,"model","official")</f>
        <v/>
      </c>
    </row>
    <row r="166">
      <c r="A166" s="2" t="n">
        <v>45457</v>
      </c>
      <c r="B166" t="n">
        <v>1258.82</v>
      </c>
      <c r="C166" t="n">
        <v>1246.92</v>
      </c>
      <c r="D166" t="n">
        <v>1310.67</v>
      </c>
      <c r="E166" s="5">
        <f>ABS(C166-B166)/B166</f>
        <v/>
      </c>
      <c r="F166" s="5">
        <f>ABS(D166-B166)/B166</f>
        <v/>
      </c>
      <c r="G166">
        <f>IF(E166&lt;F166,"model","official")</f>
        <v/>
      </c>
    </row>
    <row r="167">
      <c r="A167" s="2" t="n">
        <v>45458</v>
      </c>
      <c r="B167" t="n">
        <v>1049.89</v>
      </c>
      <c r="C167" t="n">
        <v>1079.44</v>
      </c>
      <c r="D167" t="n">
        <v>1107.16</v>
      </c>
      <c r="E167" s="5">
        <f>ABS(C167-B167)/B167</f>
        <v/>
      </c>
      <c r="F167" s="5">
        <f>ABS(D167-B167)/B167</f>
        <v/>
      </c>
      <c r="G167">
        <f>IF(E167&lt;F167,"model","official")</f>
        <v/>
      </c>
    </row>
    <row r="168">
      <c r="A168" s="2" t="n">
        <v>45459</v>
      </c>
      <c r="B168" t="n">
        <v>999.38</v>
      </c>
      <c r="C168" t="n">
        <v>1018.26</v>
      </c>
      <c r="D168" t="n">
        <v>1058.77</v>
      </c>
      <c r="E168" s="5">
        <f>ABS(C168-B168)/B168</f>
        <v/>
      </c>
      <c r="F168" s="5">
        <f>ABS(D168-B168)/B168</f>
        <v/>
      </c>
      <c r="G168">
        <f>IF(E168&lt;F168,"model","official")</f>
        <v/>
      </c>
    </row>
    <row r="169">
      <c r="A169" s="2" t="n">
        <v>45460</v>
      </c>
      <c r="B169" t="n">
        <v>1248.7</v>
      </c>
      <c r="C169" t="n">
        <v>1247.01</v>
      </c>
      <c r="D169" t="n">
        <v>1302.24</v>
      </c>
      <c r="E169" s="5">
        <f>ABS(C169-B169)/B169</f>
        <v/>
      </c>
      <c r="F169" s="5">
        <f>ABS(D169-B169)/B169</f>
        <v/>
      </c>
      <c r="G169">
        <f>IF(E169&lt;F169,"model","official")</f>
        <v/>
      </c>
    </row>
    <row r="170">
      <c r="A170" s="2" t="n">
        <v>45461</v>
      </c>
      <c r="B170" t="n">
        <v>1280.4</v>
      </c>
      <c r="C170" t="n">
        <v>1275.07</v>
      </c>
      <c r="D170" t="n">
        <v>1321.07</v>
      </c>
      <c r="E170" s="5">
        <f>ABS(C170-B170)/B170</f>
        <v/>
      </c>
      <c r="F170" s="5">
        <f>ABS(D170-B170)/B170</f>
        <v/>
      </c>
      <c r="G170">
        <f>IF(E170&lt;F170,"model","official")</f>
        <v/>
      </c>
    </row>
    <row r="171">
      <c r="A171" s="2" t="n">
        <v>45462</v>
      </c>
      <c r="B171" t="n">
        <v>1293.13</v>
      </c>
      <c r="C171" t="n">
        <v>1277.72</v>
      </c>
      <c r="D171" t="n">
        <v>1316.6</v>
      </c>
      <c r="E171" s="5">
        <f>ABS(C171-B171)/B171</f>
        <v/>
      </c>
      <c r="F171" s="5">
        <f>ABS(D171-B171)/B171</f>
        <v/>
      </c>
      <c r="G171">
        <f>IF(E171&lt;F171,"model","official")</f>
        <v/>
      </c>
    </row>
    <row r="172">
      <c r="A172" s="2" t="n">
        <v>45463</v>
      </c>
      <c r="B172" t="n">
        <v>1278.75</v>
      </c>
      <c r="C172" t="n">
        <v>1274.06</v>
      </c>
      <c r="D172" t="n">
        <v>1280.47</v>
      </c>
      <c r="E172" s="5">
        <f>ABS(C172-B172)/B172</f>
        <v/>
      </c>
      <c r="F172" s="5">
        <f>ABS(D172-B172)/B172</f>
        <v/>
      </c>
      <c r="G172">
        <f>IF(E172&lt;F172,"model","official")</f>
        <v/>
      </c>
    </row>
    <row r="173">
      <c r="A173" s="2" t="n">
        <v>45464</v>
      </c>
      <c r="B173" t="n">
        <v>1261.18</v>
      </c>
      <c r="C173" t="n">
        <v>1251.09</v>
      </c>
      <c r="D173" t="n">
        <v>1297.78</v>
      </c>
      <c r="E173" s="5">
        <f>ABS(C173-B173)/B173</f>
        <v/>
      </c>
      <c r="F173" s="5">
        <f>ABS(D173-B173)/B173</f>
        <v/>
      </c>
      <c r="G173">
        <f>IF(E173&lt;F173,"model","official")</f>
        <v/>
      </c>
    </row>
    <row r="174">
      <c r="A174" s="2" t="n">
        <v>45465</v>
      </c>
      <c r="B174" t="n">
        <v>1080.58</v>
      </c>
      <c r="C174" t="n">
        <v>1081.98</v>
      </c>
      <c r="D174" t="n">
        <v>1117.6</v>
      </c>
      <c r="E174" s="5">
        <f>ABS(C174-B174)/B174</f>
        <v/>
      </c>
      <c r="F174" s="5">
        <f>ABS(D174-B174)/B174</f>
        <v/>
      </c>
      <c r="G174">
        <f>IF(E174&lt;F174,"model","official")</f>
        <v/>
      </c>
    </row>
    <row r="175">
      <c r="A175" s="2" t="n">
        <v>45466</v>
      </c>
      <c r="B175" t="n">
        <v>996.1</v>
      </c>
      <c r="C175" t="n">
        <v>1018.29</v>
      </c>
      <c r="D175" t="n">
        <v>1019.37</v>
      </c>
      <c r="E175" s="5">
        <f>ABS(C175-B175)/B175</f>
        <v/>
      </c>
      <c r="F175" s="5">
        <f>ABS(D175-B175)/B175</f>
        <v/>
      </c>
      <c r="G175">
        <f>IF(E175&lt;F175,"model","official")</f>
        <v/>
      </c>
    </row>
    <row r="176">
      <c r="A176" s="2" t="n">
        <v>45467</v>
      </c>
      <c r="B176" t="n">
        <v>1219.62</v>
      </c>
      <c r="C176" t="n">
        <v>1249.66</v>
      </c>
      <c r="D176" t="n">
        <v>1277.71</v>
      </c>
      <c r="E176" s="5">
        <f>ABS(C176-B176)/B176</f>
        <v/>
      </c>
      <c r="F176" s="5">
        <f>ABS(D176-B176)/B176</f>
        <v/>
      </c>
      <c r="G176">
        <f>IF(E176&lt;F176,"model","official")</f>
        <v/>
      </c>
    </row>
    <row r="177">
      <c r="A177" s="2" t="n">
        <v>45468</v>
      </c>
      <c r="B177" t="n">
        <v>1257.93</v>
      </c>
      <c r="C177" t="n">
        <v>1275.54</v>
      </c>
      <c r="D177" t="n">
        <v>1294.04</v>
      </c>
      <c r="E177" s="5">
        <f>ABS(C177-B177)/B177</f>
        <v/>
      </c>
      <c r="F177" s="5">
        <f>ABS(D177-B177)/B177</f>
        <v/>
      </c>
      <c r="G177">
        <f>IF(E177&lt;F177,"model","official")</f>
        <v/>
      </c>
    </row>
    <row r="178">
      <c r="A178" s="2" t="n">
        <v>45469</v>
      </c>
      <c r="B178" t="n">
        <v>1281.12</v>
      </c>
      <c r="C178" t="n">
        <v>1272.64</v>
      </c>
      <c r="D178" t="n">
        <v>1292.72</v>
      </c>
      <c r="E178" s="5">
        <f>ABS(C178-B178)/B178</f>
        <v/>
      </c>
      <c r="F178" s="5">
        <f>ABS(D178-B178)/B178</f>
        <v/>
      </c>
      <c r="G178">
        <f>IF(E178&lt;F178,"model","official")</f>
        <v/>
      </c>
    </row>
    <row r="179">
      <c r="A179" s="2" t="n">
        <v>45470</v>
      </c>
      <c r="B179" t="n">
        <v>1309.38</v>
      </c>
      <c r="C179" t="n">
        <v>1267.57</v>
      </c>
      <c r="D179" t="n">
        <v>1291.84</v>
      </c>
      <c r="E179" s="5">
        <f>ABS(C179-B179)/B179</f>
        <v/>
      </c>
      <c r="F179" s="5">
        <f>ABS(D179-B179)/B179</f>
        <v/>
      </c>
      <c r="G179">
        <f>IF(E179&lt;F179,"model","official")</f>
        <v/>
      </c>
    </row>
    <row r="180">
      <c r="A180" s="2" t="n">
        <v>45471</v>
      </c>
      <c r="B180" t="n">
        <v>1269.31</v>
      </c>
      <c r="C180" t="n">
        <v>1243.23</v>
      </c>
      <c r="D180" t="n">
        <v>1280.87</v>
      </c>
      <c r="E180" s="5">
        <f>ABS(C180-B180)/B180</f>
        <v/>
      </c>
      <c r="F180" s="5">
        <f>ABS(D180-B180)/B180</f>
        <v/>
      </c>
      <c r="G180">
        <f>IF(E180&lt;F180,"model","official")</f>
        <v/>
      </c>
    </row>
    <row r="181">
      <c r="A181" s="2" t="n">
        <v>45472</v>
      </c>
      <c r="B181" t="n">
        <v>1060.52</v>
      </c>
      <c r="C181" t="n">
        <v>1078.4</v>
      </c>
      <c r="D181" t="n">
        <v>1099.42</v>
      </c>
      <c r="E181" s="5">
        <f>ABS(C181-B181)/B181</f>
        <v/>
      </c>
      <c r="F181" s="5">
        <f>ABS(D181-B181)/B181</f>
        <v/>
      </c>
      <c r="G181">
        <f>IF(E181&lt;F181,"model","official")</f>
        <v/>
      </c>
    </row>
    <row r="182">
      <c r="A182" s="2" t="n">
        <v>45473</v>
      </c>
      <c r="B182" t="n">
        <v>1049.92</v>
      </c>
      <c r="C182" t="n">
        <v>1014.47</v>
      </c>
      <c r="D182" t="n">
        <v>1027.88</v>
      </c>
      <c r="E182" s="5">
        <f>ABS(C182-B182)/B182</f>
        <v/>
      </c>
      <c r="F182" s="5">
        <f>ABS(D182-B182)/B182</f>
        <v/>
      </c>
      <c r="G182">
        <f>IF(E182&lt;F182,"model","official")</f>
        <v/>
      </c>
    </row>
    <row r="183">
      <c r="A183" s="2" t="n">
        <v>45474</v>
      </c>
      <c r="B183" t="n">
        <v>1255.24</v>
      </c>
      <c r="C183" t="n">
        <v>1236.92</v>
      </c>
      <c r="D183" t="n">
        <v>1296.93</v>
      </c>
      <c r="E183" s="5">
        <f>ABS(C183-B183)/B183</f>
        <v/>
      </c>
      <c r="F183" s="5">
        <f>ABS(D183-B183)/B183</f>
        <v/>
      </c>
      <c r="G183">
        <f>IF(E183&lt;F183,"model","official")</f>
        <v/>
      </c>
    </row>
    <row r="184">
      <c r="A184" s="2" t="n">
        <v>45475</v>
      </c>
      <c r="B184" t="n">
        <v>1305.26</v>
      </c>
      <c r="C184" t="n">
        <v>1271.17</v>
      </c>
      <c r="D184" t="n">
        <v>1331.05</v>
      </c>
      <c r="E184" s="5">
        <f>ABS(C184-B184)/B184</f>
        <v/>
      </c>
      <c r="F184" s="5">
        <f>ABS(D184-B184)/B184</f>
        <v/>
      </c>
      <c r="G184">
        <f>IF(E184&lt;F184,"model","official")</f>
        <v/>
      </c>
    </row>
    <row r="185">
      <c r="A185" s="2" t="n">
        <v>45476</v>
      </c>
      <c r="B185" t="n">
        <v>1301.7</v>
      </c>
      <c r="C185" t="n">
        <v>1278.17</v>
      </c>
      <c r="D185" t="n">
        <v>1323.89</v>
      </c>
      <c r="E185" s="5">
        <f>ABS(C185-B185)/B185</f>
        <v/>
      </c>
      <c r="F185" s="5">
        <f>ABS(D185-B185)/B185</f>
        <v/>
      </c>
      <c r="G185">
        <f>IF(E185&lt;F185,"model","official")</f>
        <v/>
      </c>
    </row>
    <row r="186">
      <c r="A186" s="2" t="n">
        <v>45477</v>
      </c>
      <c r="B186" t="n">
        <v>1315.87</v>
      </c>
      <c r="C186" t="n">
        <v>1284.87</v>
      </c>
      <c r="D186" t="n">
        <v>1319.93</v>
      </c>
      <c r="E186" s="5">
        <f>ABS(C186-B186)/B186</f>
        <v/>
      </c>
      <c r="F186" s="5">
        <f>ABS(D186-B186)/B186</f>
        <v/>
      </c>
      <c r="G186">
        <f>IF(E186&lt;F186,"model","official")</f>
        <v/>
      </c>
    </row>
    <row r="187">
      <c r="A187" s="2" t="n">
        <v>45478</v>
      </c>
      <c r="B187" t="n">
        <v>1259.63</v>
      </c>
      <c r="C187" t="n">
        <v>1264.21</v>
      </c>
      <c r="D187" t="n">
        <v>1299.21</v>
      </c>
      <c r="E187" s="5">
        <f>ABS(C187-B187)/B187</f>
        <v/>
      </c>
      <c r="F187" s="5">
        <f>ABS(D187-B187)/B187</f>
        <v/>
      </c>
      <c r="G187">
        <f>IF(E187&lt;F187,"model","official")</f>
        <v/>
      </c>
    </row>
    <row r="188">
      <c r="A188" s="2" t="n">
        <v>45479</v>
      </c>
      <c r="B188" t="n">
        <v>1086.33</v>
      </c>
      <c r="C188" t="n">
        <v>1092.68</v>
      </c>
      <c r="D188" t="n">
        <v>1094.35</v>
      </c>
      <c r="E188" s="5">
        <f>ABS(C188-B188)/B188</f>
        <v/>
      </c>
      <c r="F188" s="5">
        <f>ABS(D188-B188)/B188</f>
        <v/>
      </c>
      <c r="G188">
        <f>IF(E188&lt;F188,"model","official")</f>
        <v/>
      </c>
    </row>
    <row r="189">
      <c r="A189" s="2" t="n">
        <v>45480</v>
      </c>
      <c r="B189" t="n">
        <v>983.0599999999999</v>
      </c>
      <c r="C189" t="n">
        <v>1028.58</v>
      </c>
      <c r="D189" t="n">
        <v>1025.08</v>
      </c>
      <c r="E189" s="5">
        <f>ABS(C189-B189)/B189</f>
        <v/>
      </c>
      <c r="F189" s="5">
        <f>ABS(D189-B189)/B189</f>
        <v/>
      </c>
      <c r="G189">
        <f>IF(E189&lt;F189,"model","official")</f>
        <v/>
      </c>
    </row>
    <row r="190">
      <c r="A190" s="2" t="n">
        <v>45481</v>
      </c>
      <c r="B190" t="n">
        <v>1213.18</v>
      </c>
      <c r="C190" t="n">
        <v>1259.76</v>
      </c>
      <c r="D190" t="n">
        <v>1281.5</v>
      </c>
      <c r="E190" s="5">
        <f>ABS(C190-B190)/B190</f>
        <v/>
      </c>
      <c r="F190" s="5">
        <f>ABS(D190-B190)/B190</f>
        <v/>
      </c>
      <c r="G190">
        <f>IF(E190&lt;F190,"model","official")</f>
        <v/>
      </c>
    </row>
    <row r="191">
      <c r="A191" s="2" t="n">
        <v>45482</v>
      </c>
      <c r="B191" t="n">
        <v>1274.28</v>
      </c>
      <c r="C191" t="n">
        <v>1277.56</v>
      </c>
      <c r="D191" t="n">
        <v>1312.94</v>
      </c>
      <c r="E191" s="5">
        <f>ABS(C191-B191)/B191</f>
        <v/>
      </c>
      <c r="F191" s="5">
        <f>ABS(D191-B191)/B191</f>
        <v/>
      </c>
      <c r="G191">
        <f>IF(E191&lt;F191,"model","official")</f>
        <v/>
      </c>
    </row>
    <row r="192">
      <c r="A192" s="2" t="n">
        <v>45483</v>
      </c>
      <c r="B192" t="n">
        <v>1323.16</v>
      </c>
      <c r="C192" t="n">
        <v>1272.52</v>
      </c>
      <c r="D192" t="n">
        <v>1301.02</v>
      </c>
      <c r="E192" s="5">
        <f>ABS(C192-B192)/B192</f>
        <v/>
      </c>
      <c r="F192" s="5">
        <f>ABS(D192-B192)/B192</f>
        <v/>
      </c>
      <c r="G192">
        <f>IF(E192&lt;F192,"model","official")</f>
        <v/>
      </c>
    </row>
    <row r="193">
      <c r="A193" s="2" t="n">
        <v>45484</v>
      </c>
      <c r="B193" t="n">
        <v>1275.84</v>
      </c>
      <c r="C193" t="n">
        <v>1267.55</v>
      </c>
      <c r="D193" t="n">
        <v>1296.2</v>
      </c>
      <c r="E193" s="5">
        <f>ABS(C193-B193)/B193</f>
        <v/>
      </c>
      <c r="F193" s="5">
        <f>ABS(D193-B193)/B193</f>
        <v/>
      </c>
      <c r="G193">
        <f>IF(E193&lt;F193,"model","official")</f>
        <v/>
      </c>
    </row>
    <row r="194">
      <c r="A194" s="2" t="n">
        <v>45485</v>
      </c>
      <c r="B194" t="n">
        <v>1259.33</v>
      </c>
      <c r="C194" t="n">
        <v>1246.96</v>
      </c>
      <c r="D194" t="n">
        <v>1284.57</v>
      </c>
      <c r="E194" s="5">
        <f>ABS(C194-B194)/B194</f>
        <v/>
      </c>
      <c r="F194" s="5">
        <f>ABS(D194-B194)/B194</f>
        <v/>
      </c>
      <c r="G194">
        <f>IF(E194&lt;F194,"model","official")</f>
        <v/>
      </c>
    </row>
    <row r="195">
      <c r="A195" s="2" t="n">
        <v>45486</v>
      </c>
      <c r="B195" t="n">
        <v>1067.13</v>
      </c>
      <c r="C195" t="n">
        <v>1073.46</v>
      </c>
      <c r="D195" t="n">
        <v>1099.29</v>
      </c>
      <c r="E195" s="5">
        <f>ABS(C195-B195)/B195</f>
        <v/>
      </c>
      <c r="F195" s="5">
        <f>ABS(D195-B195)/B195</f>
        <v/>
      </c>
      <c r="G195">
        <f>IF(E195&lt;F195,"model","official")</f>
        <v/>
      </c>
    </row>
    <row r="196">
      <c r="A196" s="2" t="n">
        <v>45487</v>
      </c>
      <c r="B196" t="n">
        <v>989.23</v>
      </c>
      <c r="C196" t="n">
        <v>1008.48</v>
      </c>
      <c r="D196" t="n">
        <v>1027.44</v>
      </c>
      <c r="E196" s="5">
        <f>ABS(C196-B196)/B196</f>
        <v/>
      </c>
      <c r="F196" s="5">
        <f>ABS(D196-B196)/B196</f>
        <v/>
      </c>
      <c r="G196">
        <f>IF(E196&lt;F196,"model","official")</f>
        <v/>
      </c>
    </row>
    <row r="197">
      <c r="A197" s="2" t="n">
        <v>45488</v>
      </c>
      <c r="B197" t="n">
        <v>1216.64</v>
      </c>
      <c r="C197" t="n">
        <v>1230.46</v>
      </c>
      <c r="D197" t="n">
        <v>1271.95</v>
      </c>
      <c r="E197" s="5">
        <f>ABS(C197-B197)/B197</f>
        <v/>
      </c>
      <c r="F197" s="5">
        <f>ABS(D197-B197)/B197</f>
        <v/>
      </c>
      <c r="G197">
        <f>IF(E197&lt;F197,"model","official")</f>
        <v/>
      </c>
    </row>
    <row r="198">
      <c r="A198" s="2" t="n">
        <v>45489</v>
      </c>
      <c r="B198" t="n">
        <v>1268.34</v>
      </c>
      <c r="C198" t="n">
        <v>1259.13</v>
      </c>
      <c r="D198" t="n">
        <v>1301.69</v>
      </c>
      <c r="E198" s="5">
        <f>ABS(C198-B198)/B198</f>
        <v/>
      </c>
      <c r="F198" s="5">
        <f>ABS(D198-B198)/B198</f>
        <v/>
      </c>
      <c r="G198">
        <f>IF(E198&lt;F198,"model","official")</f>
        <v/>
      </c>
    </row>
    <row r="199">
      <c r="A199" s="2" t="n">
        <v>45490</v>
      </c>
      <c r="B199" t="n">
        <v>1274.57</v>
      </c>
      <c r="C199" t="n">
        <v>1263.57</v>
      </c>
      <c r="D199" t="n">
        <v>1289.61</v>
      </c>
      <c r="E199" s="5">
        <f>ABS(C199-B199)/B199</f>
        <v/>
      </c>
      <c r="F199" s="5">
        <f>ABS(D199-B199)/B199</f>
        <v/>
      </c>
      <c r="G199">
        <f>IF(E199&lt;F199,"model","official")</f>
        <v/>
      </c>
    </row>
    <row r="200">
      <c r="A200" s="2" t="n">
        <v>45491</v>
      </c>
      <c r="B200" t="n">
        <v>1264.55</v>
      </c>
      <c r="C200" t="n">
        <v>1260.37</v>
      </c>
      <c r="D200" t="n">
        <v>1286.64</v>
      </c>
      <c r="E200" s="5">
        <f>ABS(C200-B200)/B200</f>
        <v/>
      </c>
      <c r="F200" s="5">
        <f>ABS(D200-B200)/B200</f>
        <v/>
      </c>
      <c r="G200">
        <f>IF(E200&lt;F200,"model","official")</f>
        <v/>
      </c>
    </row>
    <row r="201">
      <c r="A201" s="2" t="n">
        <v>45492</v>
      </c>
      <c r="B201" t="n">
        <v>1228.5</v>
      </c>
      <c r="C201" t="n">
        <v>1231.29</v>
      </c>
      <c r="D201" t="n">
        <v>1261.77</v>
      </c>
      <c r="E201" s="5">
        <f>ABS(C201-B201)/B201</f>
        <v/>
      </c>
      <c r="F201" s="5">
        <f>ABS(D201-B201)/B201</f>
        <v/>
      </c>
      <c r="G201">
        <f>IF(E201&lt;F201,"model","official")</f>
        <v/>
      </c>
    </row>
    <row r="202">
      <c r="A202" s="2" t="n">
        <v>45493</v>
      </c>
      <c r="B202" t="n">
        <v>1065.07</v>
      </c>
      <c r="C202" t="n">
        <v>1062.88</v>
      </c>
      <c r="D202" t="n">
        <v>1078.6</v>
      </c>
      <c r="E202" s="5">
        <f>ABS(C202-B202)/B202</f>
        <v/>
      </c>
      <c r="F202" s="5">
        <f>ABS(D202-B202)/B202</f>
        <v/>
      </c>
      <c r="G202">
        <f>IF(E202&lt;F202,"model","official")</f>
        <v/>
      </c>
    </row>
    <row r="203">
      <c r="A203" s="2" t="n">
        <v>45494</v>
      </c>
      <c r="B203" t="n">
        <v>1005.62</v>
      </c>
      <c r="C203" t="n">
        <v>996.1900000000001</v>
      </c>
      <c r="D203" t="n">
        <v>999.03</v>
      </c>
      <c r="E203" s="5">
        <f>ABS(C203-B203)/B203</f>
        <v/>
      </c>
      <c r="F203" s="5">
        <f>ABS(D203-B203)/B203</f>
        <v/>
      </c>
      <c r="G203">
        <f>IF(E203&lt;F203,"model","official")</f>
        <v/>
      </c>
    </row>
    <row r="204">
      <c r="A204" s="2" t="n">
        <v>45495</v>
      </c>
      <c r="B204" t="n">
        <v>1249.42</v>
      </c>
      <c r="C204" t="n">
        <v>1216.8</v>
      </c>
      <c r="D204" t="n">
        <v>1257.26</v>
      </c>
      <c r="E204" s="5">
        <f>ABS(C204-B204)/B204</f>
        <v/>
      </c>
      <c r="F204" s="5">
        <f>ABS(D204-B204)/B204</f>
        <v/>
      </c>
      <c r="G204">
        <f>IF(E204&lt;F204,"model","official")</f>
        <v/>
      </c>
    </row>
    <row r="205">
      <c r="A205" s="2" t="n">
        <v>45496</v>
      </c>
      <c r="B205" t="n">
        <v>1250.08</v>
      </c>
      <c r="C205" t="n">
        <v>1246.59</v>
      </c>
      <c r="D205" t="n">
        <v>1285.12</v>
      </c>
      <c r="E205" s="5">
        <f>ABS(C205-B205)/B205</f>
        <v/>
      </c>
      <c r="F205" s="5">
        <f>ABS(D205-B205)/B205</f>
        <v/>
      </c>
      <c r="G205">
        <f>IF(E205&lt;F205,"model","official")</f>
        <v/>
      </c>
    </row>
    <row r="206">
      <c r="A206" s="2" t="n">
        <v>45497</v>
      </c>
      <c r="B206" t="n">
        <v>1239.78</v>
      </c>
      <c r="C206" t="n">
        <v>1254.04</v>
      </c>
      <c r="D206" t="n">
        <v>1268.27</v>
      </c>
      <c r="E206" s="5">
        <f>ABS(C206-B206)/B206</f>
        <v/>
      </c>
      <c r="F206" s="5">
        <f>ABS(D206-B206)/B206</f>
        <v/>
      </c>
      <c r="G206">
        <f>IF(E206&lt;F206,"model","official")</f>
        <v/>
      </c>
    </row>
    <row r="207">
      <c r="A207" s="2" t="n">
        <v>45498</v>
      </c>
      <c r="B207" t="n">
        <v>1222.18</v>
      </c>
      <c r="C207" t="n">
        <v>1250.6</v>
      </c>
      <c r="D207" t="n">
        <v>1267.21</v>
      </c>
      <c r="E207" s="5">
        <f>ABS(C207-B207)/B207</f>
        <v/>
      </c>
      <c r="F207" s="5">
        <f>ABS(D207-B207)/B207</f>
        <v/>
      </c>
      <c r="G207">
        <f>IF(E207&lt;F207,"model","official")</f>
        <v/>
      </c>
    </row>
    <row r="208">
      <c r="A208" s="2" t="n">
        <v>45499</v>
      </c>
      <c r="B208" t="n">
        <v>1226.11</v>
      </c>
      <c r="C208" t="n">
        <v>1223.23</v>
      </c>
      <c r="D208" t="n">
        <v>1239.87</v>
      </c>
      <c r="E208" s="5">
        <f>ABS(C208-B208)/B208</f>
        <v/>
      </c>
      <c r="F208" s="5">
        <f>ABS(D208-B208)/B208</f>
        <v/>
      </c>
      <c r="G208">
        <f>IF(E208&lt;F208,"model","official")</f>
        <v/>
      </c>
    </row>
    <row r="209">
      <c r="A209" s="2" t="n">
        <v>45500</v>
      </c>
      <c r="B209" t="n">
        <v>1047.63</v>
      </c>
      <c r="C209" t="n">
        <v>1053.17</v>
      </c>
      <c r="D209" t="n">
        <v>1063.46</v>
      </c>
      <c r="E209" s="5">
        <f>ABS(C209-B209)/B209</f>
        <v/>
      </c>
      <c r="F209" s="5">
        <f>ABS(D209-B209)/B209</f>
        <v/>
      </c>
      <c r="G209">
        <f>IF(E209&lt;F209,"model","official")</f>
        <v/>
      </c>
    </row>
    <row r="210">
      <c r="A210" s="2" t="n">
        <v>45501</v>
      </c>
      <c r="B210" t="n">
        <v>975.49</v>
      </c>
      <c r="C210" t="n">
        <v>991.1900000000001</v>
      </c>
      <c r="D210" t="n">
        <v>999</v>
      </c>
      <c r="E210" s="5">
        <f>ABS(C210-B210)/B210</f>
        <v/>
      </c>
      <c r="F210" s="5">
        <f>ABS(D210-B210)/B210</f>
        <v/>
      </c>
      <c r="G210">
        <f>IF(E210&lt;F210,"model","official")</f>
        <v/>
      </c>
    </row>
    <row r="211">
      <c r="A211" s="2" t="n">
        <v>45502</v>
      </c>
      <c r="B211" t="n">
        <v>1138.32</v>
      </c>
      <c r="C211" t="n">
        <v>1209.21</v>
      </c>
      <c r="D211" t="n">
        <v>1245.23</v>
      </c>
      <c r="E211" s="5">
        <f>ABS(C211-B211)/B211</f>
        <v/>
      </c>
      <c r="F211" s="5">
        <f>ABS(D211-B211)/B211</f>
        <v/>
      </c>
      <c r="G211">
        <f>IF(E211&lt;F211,"model","official")</f>
        <v/>
      </c>
    </row>
    <row r="212">
      <c r="A212" s="2" t="n">
        <v>45503</v>
      </c>
      <c r="B212" t="n">
        <v>1176.72</v>
      </c>
      <c r="C212" t="n">
        <v>1230.56</v>
      </c>
      <c r="D212" t="n">
        <v>1279.44</v>
      </c>
      <c r="E212" s="5">
        <f>ABS(C212-B212)/B212</f>
        <v/>
      </c>
      <c r="F212" s="5">
        <f>ABS(D212-B212)/B212</f>
        <v/>
      </c>
      <c r="G212">
        <f>IF(E212&lt;F212,"model","official")</f>
        <v/>
      </c>
    </row>
    <row r="213">
      <c r="A213" s="2" t="n">
        <v>45504</v>
      </c>
      <c r="B213" t="n">
        <v>1215.44</v>
      </c>
      <c r="C213" t="n">
        <v>1216.81</v>
      </c>
      <c r="D213" t="n">
        <v>1268.18</v>
      </c>
      <c r="E213" s="5">
        <f>ABS(C213-B213)/B213</f>
        <v/>
      </c>
      <c r="F213" s="5">
        <f>ABS(D213-B213)/B213</f>
        <v/>
      </c>
      <c r="G213">
        <f>IF(E213&lt;F213,"model","official")</f>
        <v/>
      </c>
    </row>
    <row r="214">
      <c r="A214" s="2" t="n">
        <v>45505</v>
      </c>
      <c r="B214" t="n">
        <v>1281.15</v>
      </c>
      <c r="C214" t="n">
        <v>1205.39</v>
      </c>
      <c r="D214" t="n">
        <v>1264.36</v>
      </c>
      <c r="E214" s="5">
        <f>ABS(C214-B214)/B214</f>
        <v/>
      </c>
      <c r="F214" s="5">
        <f>ABS(D214-B214)/B214</f>
        <v/>
      </c>
      <c r="G214">
        <f>IF(E214&lt;F214,"model","official")</f>
        <v/>
      </c>
    </row>
    <row r="215">
      <c r="A215" s="2" t="n">
        <v>45506</v>
      </c>
      <c r="B215" t="n">
        <v>1222.35</v>
      </c>
      <c r="C215" t="n">
        <v>1181.88</v>
      </c>
      <c r="D215" t="n">
        <v>1234.95</v>
      </c>
      <c r="E215" s="5">
        <f>ABS(C215-B215)/B215</f>
        <v/>
      </c>
      <c r="F215" s="5">
        <f>ABS(D215-B215)/B215</f>
        <v/>
      </c>
      <c r="G215">
        <f>IF(E215&lt;F215,"model","official")</f>
        <v/>
      </c>
    </row>
    <row r="216">
      <c r="A216" s="2" t="n">
        <v>45507</v>
      </c>
      <c r="B216" t="n">
        <v>1041.83</v>
      </c>
      <c r="C216" t="n">
        <v>1029.54</v>
      </c>
      <c r="D216" t="n">
        <v>1055.98</v>
      </c>
      <c r="E216" s="5">
        <f>ABS(C216-B216)/B216</f>
        <v/>
      </c>
      <c r="F216" s="5">
        <f>ABS(D216-B216)/B216</f>
        <v/>
      </c>
      <c r="G216">
        <f>IF(E216&lt;F216,"model","official")</f>
        <v/>
      </c>
    </row>
    <row r="217">
      <c r="A217" s="2" t="n">
        <v>45508</v>
      </c>
      <c r="B217" t="n">
        <v>1003.19</v>
      </c>
      <c r="C217" t="n">
        <v>968.5</v>
      </c>
      <c r="D217" t="n">
        <v>984.0700000000001</v>
      </c>
      <c r="E217" s="5">
        <f>ABS(C217-B217)/B217</f>
        <v/>
      </c>
      <c r="F217" s="5">
        <f>ABS(D217-B217)/B217</f>
        <v/>
      </c>
      <c r="G217">
        <f>IF(E217&lt;F217,"model","official")</f>
        <v/>
      </c>
    </row>
    <row r="218">
      <c r="A218" s="2" t="n">
        <v>45509</v>
      </c>
      <c r="B218" t="n">
        <v>1210.21</v>
      </c>
      <c r="C218" t="n">
        <v>1180.71</v>
      </c>
      <c r="D218" t="n">
        <v>1229.27</v>
      </c>
      <c r="E218" s="5">
        <f>ABS(C218-B218)/B218</f>
        <v/>
      </c>
      <c r="F218" s="5">
        <f>ABS(D218-B218)/B218</f>
        <v/>
      </c>
      <c r="G218">
        <f>IF(E218&lt;F218,"model","official")</f>
        <v/>
      </c>
    </row>
    <row r="219">
      <c r="A219" s="2" t="n">
        <v>45510</v>
      </c>
      <c r="B219" t="n">
        <v>1230.95</v>
      </c>
      <c r="C219" t="n">
        <v>1211.44</v>
      </c>
      <c r="D219" t="n">
        <v>1250.03</v>
      </c>
      <c r="E219" s="5">
        <f>ABS(C219-B219)/B219</f>
        <v/>
      </c>
      <c r="F219" s="5">
        <f>ABS(D219-B219)/B219</f>
        <v/>
      </c>
      <c r="G219">
        <f>IF(E219&lt;F219,"model","official")</f>
        <v/>
      </c>
    </row>
    <row r="220">
      <c r="A220" s="2" t="n">
        <v>45511</v>
      </c>
      <c r="B220" t="n">
        <v>1265.74</v>
      </c>
      <c r="C220" t="n">
        <v>1226.14</v>
      </c>
      <c r="D220" t="n">
        <v>1247.75</v>
      </c>
      <c r="E220" s="5">
        <f>ABS(C220-B220)/B220</f>
        <v/>
      </c>
      <c r="F220" s="5">
        <f>ABS(D220-B220)/B220</f>
        <v/>
      </c>
      <c r="G220">
        <f>IF(E220&lt;F220,"model","official")</f>
        <v/>
      </c>
    </row>
    <row r="221">
      <c r="A221" s="2" t="n">
        <v>45512</v>
      </c>
      <c r="B221" t="n">
        <v>1249.07</v>
      </c>
      <c r="C221" t="n">
        <v>1236.34</v>
      </c>
      <c r="D221" t="n">
        <v>1255.01</v>
      </c>
      <c r="E221" s="5">
        <f>ABS(C221-B221)/B221</f>
        <v/>
      </c>
      <c r="F221" s="5">
        <f>ABS(D221-B221)/B221</f>
        <v/>
      </c>
      <c r="G221">
        <f>IF(E221&lt;F221,"model","official")</f>
        <v/>
      </c>
    </row>
    <row r="222">
      <c r="A222" s="2" t="n">
        <v>45513</v>
      </c>
      <c r="B222" t="n">
        <v>1250.24</v>
      </c>
      <c r="C222" t="n">
        <v>1221.01</v>
      </c>
      <c r="D222" t="n">
        <v>1238.44</v>
      </c>
      <c r="E222" s="5">
        <f>ABS(C222-B222)/B222</f>
        <v/>
      </c>
      <c r="F222" s="5">
        <f>ABS(D222-B222)/B222</f>
        <v/>
      </c>
      <c r="G222">
        <f>IF(E222&lt;F222,"model","official")</f>
        <v/>
      </c>
    </row>
    <row r="223">
      <c r="A223" s="2" t="n">
        <v>45514</v>
      </c>
      <c r="B223" t="n">
        <v>1060.11</v>
      </c>
      <c r="C223" t="n">
        <v>1052.23</v>
      </c>
      <c r="D223" t="n">
        <v>1038.95</v>
      </c>
      <c r="E223" s="5">
        <f>ABS(C223-B223)/B223</f>
        <v/>
      </c>
      <c r="F223" s="5">
        <f>ABS(D223-B223)/B223</f>
        <v/>
      </c>
      <c r="G223">
        <f>IF(E223&lt;F223,"model","official")</f>
        <v/>
      </c>
    </row>
    <row r="224">
      <c r="A224" s="2" t="n">
        <v>45515</v>
      </c>
      <c r="B224" t="n">
        <v>992.6900000000001</v>
      </c>
      <c r="C224" t="n">
        <v>994.87</v>
      </c>
      <c r="D224" t="n">
        <v>979.5</v>
      </c>
      <c r="E224" s="5">
        <f>ABS(C224-B224)/B224</f>
        <v/>
      </c>
      <c r="F224" s="5">
        <f>ABS(D224-B224)/B224</f>
        <v/>
      </c>
      <c r="G224">
        <f>IF(E224&lt;F224,"model","official")</f>
        <v/>
      </c>
    </row>
    <row r="225">
      <c r="A225" s="2" t="n">
        <v>45516</v>
      </c>
      <c r="B225" t="n">
        <v>1234.08</v>
      </c>
      <c r="C225" t="n">
        <v>1217.91</v>
      </c>
      <c r="D225" t="n">
        <v>1254.33</v>
      </c>
      <c r="E225" s="5">
        <f>ABS(C225-B225)/B225</f>
        <v/>
      </c>
      <c r="F225" s="5">
        <f>ABS(D225-B225)/B225</f>
        <v/>
      </c>
      <c r="G225">
        <f>IF(E225&lt;F225,"model","official")</f>
        <v/>
      </c>
    </row>
    <row r="226">
      <c r="A226" s="2" t="n">
        <v>45517</v>
      </c>
      <c r="B226" t="n">
        <v>1300.39</v>
      </c>
      <c r="C226" t="n">
        <v>1245.05</v>
      </c>
      <c r="D226" t="n">
        <v>1295.09</v>
      </c>
      <c r="E226" s="5">
        <f>ABS(C226-B226)/B226</f>
        <v/>
      </c>
      <c r="F226" s="5">
        <f>ABS(D226-B226)/B226</f>
        <v/>
      </c>
      <c r="G226">
        <f>IF(E226&lt;F226,"model","official")</f>
        <v/>
      </c>
    </row>
    <row r="227">
      <c r="A227" s="2" t="n">
        <v>45518</v>
      </c>
      <c r="B227" t="n">
        <v>1295.53</v>
      </c>
      <c r="C227" t="n">
        <v>1253.55</v>
      </c>
      <c r="D227" t="n">
        <v>1294.94</v>
      </c>
      <c r="E227" s="5">
        <f>ABS(C227-B227)/B227</f>
        <v/>
      </c>
      <c r="F227" s="5">
        <f>ABS(D227-B227)/B227</f>
        <v/>
      </c>
      <c r="G227">
        <f>IF(E227&lt;F227,"model","official")</f>
        <v/>
      </c>
    </row>
    <row r="228">
      <c r="A228" s="2" t="n">
        <v>45519</v>
      </c>
      <c r="B228" t="n">
        <v>1241.76</v>
      </c>
      <c r="C228" t="n">
        <v>1263.22</v>
      </c>
      <c r="D228" t="n">
        <v>1184.35</v>
      </c>
      <c r="E228" s="5">
        <f>ABS(C228-B228)/B228</f>
        <v/>
      </c>
      <c r="F228" s="5">
        <f>ABS(D228-B228)/B228</f>
        <v/>
      </c>
      <c r="G228">
        <f>IF(E228&lt;F228,"model","official")</f>
        <v/>
      </c>
    </row>
    <row r="229">
      <c r="A229" s="2" t="n">
        <v>45520</v>
      </c>
      <c r="B229" t="n">
        <v>1230.73</v>
      </c>
      <c r="C229" t="n">
        <v>1246.57</v>
      </c>
      <c r="D229" t="n">
        <v>1242.89</v>
      </c>
      <c r="E229" s="5">
        <f>ABS(C229-B229)/B229</f>
        <v/>
      </c>
      <c r="F229" s="5">
        <f>ABS(D229-B229)/B229</f>
        <v/>
      </c>
      <c r="G229">
        <f>IF(E229&lt;F229,"model","official")</f>
        <v/>
      </c>
    </row>
    <row r="230">
      <c r="A230" s="2" t="n">
        <v>45521</v>
      </c>
      <c r="B230" t="n">
        <v>1058.84</v>
      </c>
      <c r="C230" t="n">
        <v>1076.86</v>
      </c>
      <c r="D230" t="n">
        <v>1078.24</v>
      </c>
      <c r="E230" s="5">
        <f>ABS(C230-B230)/B230</f>
        <v/>
      </c>
      <c r="F230" s="5">
        <f>ABS(D230-B230)/B230</f>
        <v/>
      </c>
      <c r="G230">
        <f>IF(E230&lt;F230,"model","official")</f>
        <v/>
      </c>
    </row>
    <row r="231">
      <c r="A231" s="2" t="n">
        <v>45522</v>
      </c>
      <c r="B231" t="n">
        <v>1000.25</v>
      </c>
      <c r="C231" t="n">
        <v>1011.9</v>
      </c>
      <c r="D231" t="n">
        <v>992.84</v>
      </c>
      <c r="E231" s="5">
        <f>ABS(C231-B231)/B231</f>
        <v/>
      </c>
      <c r="F231" s="5">
        <f>ABS(D231-B231)/B231</f>
        <v/>
      </c>
      <c r="G231">
        <f>IF(E231&lt;F231,"model","official")</f>
        <v/>
      </c>
    </row>
    <row r="232">
      <c r="A232" s="2" t="n">
        <v>45523</v>
      </c>
      <c r="B232" t="n">
        <v>1201.47</v>
      </c>
      <c r="C232" t="n">
        <v>1236.84</v>
      </c>
      <c r="D232" t="n">
        <v>1216.78</v>
      </c>
      <c r="E232" s="5">
        <f>ABS(C232-B232)/B232</f>
        <v/>
      </c>
      <c r="F232" s="5">
        <f>ABS(D232-B232)/B232</f>
        <v/>
      </c>
      <c r="G232">
        <f>IF(E232&lt;F232,"model","official")</f>
        <v/>
      </c>
    </row>
    <row r="233">
      <c r="A233" s="2" t="n">
        <v>45524</v>
      </c>
      <c r="B233" t="n">
        <v>1251.54</v>
      </c>
      <c r="C233" t="n">
        <v>1267.19</v>
      </c>
      <c r="D233" t="n">
        <v>1250.25</v>
      </c>
      <c r="E233" s="5">
        <f>ABS(C233-B233)/B233</f>
        <v/>
      </c>
      <c r="F233" s="5">
        <f>ABS(D233-B233)/B233</f>
        <v/>
      </c>
      <c r="G233">
        <f>IF(E233&lt;F233,"model","official")</f>
        <v/>
      </c>
    </row>
    <row r="234">
      <c r="A234" s="2" t="n">
        <v>45525</v>
      </c>
      <c r="B234" t="n">
        <v>1274.88</v>
      </c>
      <c r="C234" t="n">
        <v>1266.19</v>
      </c>
      <c r="D234" t="n">
        <v>1258.33</v>
      </c>
      <c r="E234" s="5">
        <f>ABS(C234-B234)/B234</f>
        <v/>
      </c>
      <c r="F234" s="5">
        <f>ABS(D234-B234)/B234</f>
        <v/>
      </c>
      <c r="G234">
        <f>IF(E234&lt;F234,"model","official")</f>
        <v/>
      </c>
    </row>
    <row r="235">
      <c r="A235" s="2" t="n">
        <v>45526</v>
      </c>
      <c r="B235" t="n">
        <v>1246</v>
      </c>
      <c r="C235" t="n">
        <v>1257.33</v>
      </c>
      <c r="D235" t="n">
        <v>1225.88</v>
      </c>
      <c r="E235" s="5">
        <f>ABS(C235-B235)/B235</f>
        <v/>
      </c>
      <c r="F235" s="5">
        <f>ABS(D235-B235)/B235</f>
        <v/>
      </c>
      <c r="G235">
        <f>IF(E235&lt;F235,"model","official")</f>
        <v/>
      </c>
    </row>
    <row r="236">
      <c r="A236" s="2" t="n">
        <v>45527</v>
      </c>
      <c r="B236" t="n">
        <v>1268.71</v>
      </c>
      <c r="C236" t="n">
        <v>1233.16</v>
      </c>
      <c r="D236" t="n">
        <v>1252.88</v>
      </c>
      <c r="E236" s="5">
        <f>ABS(C236-B236)/B236</f>
        <v/>
      </c>
      <c r="F236" s="5">
        <f>ABS(D236-B236)/B236</f>
        <v/>
      </c>
      <c r="G236">
        <f>IF(E236&lt;F236,"model","official")</f>
        <v/>
      </c>
    </row>
    <row r="237">
      <c r="A237" s="2" t="n">
        <v>45528</v>
      </c>
      <c r="B237" t="n">
        <v>1085.99</v>
      </c>
      <c r="C237" t="n">
        <v>1067.27</v>
      </c>
      <c r="D237" t="n">
        <v>1050.14</v>
      </c>
      <c r="E237" s="5">
        <f>ABS(C237-B237)/B237</f>
        <v/>
      </c>
      <c r="F237" s="5">
        <f>ABS(D237-B237)/B237</f>
        <v/>
      </c>
      <c r="G237">
        <f>IF(E237&lt;F237,"model","official")</f>
        <v/>
      </c>
    </row>
    <row r="238">
      <c r="A238" s="2" t="n">
        <v>45529</v>
      </c>
      <c r="B238" t="n">
        <v>1004.81</v>
      </c>
      <c r="C238" t="n">
        <v>1009.93</v>
      </c>
      <c r="D238" t="n">
        <v>993.12</v>
      </c>
      <c r="E238" s="5">
        <f>ABS(C238-B238)/B238</f>
        <v/>
      </c>
      <c r="F238" s="5">
        <f>ABS(D238-B238)/B238</f>
        <v/>
      </c>
      <c r="G238">
        <f>IF(E238&lt;F238,"model","official")</f>
        <v/>
      </c>
    </row>
    <row r="239">
      <c r="A239" s="2" t="n">
        <v>45530</v>
      </c>
      <c r="B239" t="n">
        <v>1226.28</v>
      </c>
      <c r="C239" t="n">
        <v>1237.06</v>
      </c>
      <c r="D239" t="n">
        <v>1239.71</v>
      </c>
      <c r="E239" s="5">
        <f>ABS(C239-B239)/B239</f>
        <v/>
      </c>
      <c r="F239" s="5">
        <f>ABS(D239-B239)/B239</f>
        <v/>
      </c>
      <c r="G239">
        <f>IF(E239&lt;F239,"model","official")</f>
        <v/>
      </c>
    </row>
    <row r="240">
      <c r="A240" s="2" t="n">
        <v>45531</v>
      </c>
      <c r="B240" t="n">
        <v>1247.75</v>
      </c>
      <c r="C240" t="n">
        <v>1266.48</v>
      </c>
      <c r="D240" t="n">
        <v>1270.64</v>
      </c>
      <c r="E240" s="5">
        <f>ABS(C240-B240)/B240</f>
        <v/>
      </c>
      <c r="F240" s="5">
        <f>ABS(D240-B240)/B240</f>
        <v/>
      </c>
      <c r="G240">
        <f>IF(E240&lt;F240,"model","official")</f>
        <v/>
      </c>
    </row>
    <row r="241">
      <c r="A241" s="2" t="n">
        <v>45532</v>
      </c>
      <c r="B241" t="n">
        <v>1291.31</v>
      </c>
      <c r="C241" t="n">
        <v>1274.89</v>
      </c>
      <c r="D241" t="n">
        <v>1277.05</v>
      </c>
      <c r="E241" s="5">
        <f>ABS(C241-B241)/B241</f>
        <v/>
      </c>
      <c r="F241" s="5">
        <f>ABS(D241-B241)/B241</f>
        <v/>
      </c>
      <c r="G241">
        <f>IF(E241&lt;F241,"model","official")</f>
        <v/>
      </c>
    </row>
    <row r="242">
      <c r="A242" s="2" t="n">
        <v>45533</v>
      </c>
      <c r="B242" t="n">
        <v>1314.41</v>
      </c>
      <c r="C242" t="n">
        <v>1273.47</v>
      </c>
      <c r="D242" t="n">
        <v>1263.47</v>
      </c>
      <c r="E242" s="5">
        <f>ABS(C242-B242)/B242</f>
        <v/>
      </c>
      <c r="F242" s="5">
        <f>ABS(D242-B242)/B242</f>
        <v/>
      </c>
      <c r="G242">
        <f>IF(E242&lt;F242,"model","official")</f>
        <v/>
      </c>
    </row>
    <row r="243">
      <c r="A243" s="2" t="n">
        <v>45534</v>
      </c>
      <c r="B243" t="n">
        <v>1280.76</v>
      </c>
      <c r="C243" t="n">
        <v>1255.53</v>
      </c>
      <c r="D243" t="n">
        <v>1241.85</v>
      </c>
      <c r="E243" s="5">
        <f>ABS(C243-B243)/B243</f>
        <v/>
      </c>
      <c r="F243" s="5">
        <f>ABS(D243-B243)/B243</f>
        <v/>
      </c>
      <c r="G243">
        <f>IF(E243&lt;F243,"model","official")</f>
        <v/>
      </c>
    </row>
    <row r="244">
      <c r="A244" s="2" t="n">
        <v>45535</v>
      </c>
      <c r="B244" t="n">
        <v>1058.83</v>
      </c>
      <c r="C244" t="n">
        <v>1094.44</v>
      </c>
      <c r="D244" t="n">
        <v>1051.52</v>
      </c>
      <c r="E244" s="5">
        <f>ABS(C244-B244)/B244</f>
        <v/>
      </c>
      <c r="F244" s="5">
        <f>ABS(D244-B244)/B244</f>
        <v/>
      </c>
      <c r="G244">
        <f>IF(E244&lt;F244,"model","official")</f>
        <v/>
      </c>
    </row>
    <row r="245">
      <c r="A245" s="2" t="n">
        <v>45536</v>
      </c>
      <c r="B245" t="n">
        <v>1011.45</v>
      </c>
      <c r="C245" t="n">
        <v>1031.71</v>
      </c>
      <c r="D245" t="n">
        <v>1004.4</v>
      </c>
      <c r="E245" s="5">
        <f>ABS(C245-B245)/B245</f>
        <v/>
      </c>
      <c r="F245" s="5">
        <f>ABS(D245-B245)/B245</f>
        <v/>
      </c>
      <c r="G245">
        <f>IF(E245&lt;F245,"model","official")</f>
        <v/>
      </c>
    </row>
    <row r="246">
      <c r="A246" s="2" t="n">
        <v>45537</v>
      </c>
      <c r="B246" t="n">
        <v>1276.21</v>
      </c>
      <c r="C246" t="n">
        <v>1256.49</v>
      </c>
      <c r="D246" t="n">
        <v>1254.74</v>
      </c>
      <c r="E246" s="5">
        <f>ABS(C246-B246)/B246</f>
        <v/>
      </c>
      <c r="F246" s="5">
        <f>ABS(D246-B246)/B246</f>
        <v/>
      </c>
      <c r="G246">
        <f>IF(E246&lt;F246,"model","official")</f>
        <v/>
      </c>
    </row>
    <row r="247">
      <c r="A247" s="2" t="n">
        <v>45538</v>
      </c>
      <c r="B247" t="n">
        <v>1326.38</v>
      </c>
      <c r="C247" t="n">
        <v>1285.54</v>
      </c>
      <c r="D247" t="n">
        <v>1279.27</v>
      </c>
      <c r="E247" s="5">
        <f>ABS(C247-B247)/B247</f>
        <v/>
      </c>
      <c r="F247" s="5">
        <f>ABS(D247-B247)/B247</f>
        <v/>
      </c>
      <c r="G247">
        <f>IF(E247&lt;F247,"model","official")</f>
        <v/>
      </c>
    </row>
    <row r="248">
      <c r="A248" s="2" t="n">
        <v>45539</v>
      </c>
      <c r="B248" t="n">
        <v>1357.06</v>
      </c>
      <c r="C248" t="n">
        <v>1298.38</v>
      </c>
      <c r="D248" t="n">
        <v>1285.44</v>
      </c>
      <c r="E248" s="5">
        <f>ABS(C248-B248)/B248</f>
        <v/>
      </c>
      <c r="F248" s="5">
        <f>ABS(D248-B248)/B248</f>
        <v/>
      </c>
      <c r="G248">
        <f>IF(E248&lt;F248,"model","official")</f>
        <v/>
      </c>
    </row>
    <row r="249">
      <c r="A249" s="2" t="n">
        <v>45540</v>
      </c>
      <c r="B249" t="n">
        <v>1335.99</v>
      </c>
      <c r="C249" t="n">
        <v>1310.88</v>
      </c>
      <c r="D249" t="n">
        <v>1281.1</v>
      </c>
      <c r="E249" s="5">
        <f>ABS(C249-B249)/B249</f>
        <v/>
      </c>
      <c r="F249" s="5">
        <f>ABS(D249-B249)/B249</f>
        <v/>
      </c>
      <c r="G249">
        <f>IF(E249&lt;F249,"model","official")</f>
        <v/>
      </c>
    </row>
    <row r="250">
      <c r="A250" s="2" t="n">
        <v>45541</v>
      </c>
      <c r="B250" t="n">
        <v>1313.29</v>
      </c>
      <c r="C250" t="n">
        <v>1297.44</v>
      </c>
      <c r="D250" t="n">
        <v>1257.15</v>
      </c>
      <c r="E250" s="5">
        <f>ABS(C250-B250)/B250</f>
        <v/>
      </c>
      <c r="F250" s="5">
        <f>ABS(D250-B250)/B250</f>
        <v/>
      </c>
      <c r="G250">
        <f>IF(E250&lt;F250,"model","official")</f>
        <v/>
      </c>
    </row>
    <row r="251">
      <c r="A251" s="2" t="n">
        <v>45542</v>
      </c>
      <c r="B251" t="n">
        <v>1099.1</v>
      </c>
      <c r="C251" t="n">
        <v>1123.38</v>
      </c>
      <c r="D251" t="n">
        <v>1065.88</v>
      </c>
      <c r="E251" s="5">
        <f>ABS(C251-B251)/B251</f>
        <v/>
      </c>
      <c r="F251" s="5">
        <f>ABS(D251-B251)/B251</f>
        <v/>
      </c>
      <c r="G251">
        <f>IF(E251&lt;F251,"model","official")</f>
        <v/>
      </c>
    </row>
    <row r="252">
      <c r="A252" s="2" t="n">
        <v>45543</v>
      </c>
      <c r="B252" t="n">
        <v>1040.7</v>
      </c>
      <c r="C252" t="n">
        <v>1062.46</v>
      </c>
      <c r="D252" t="n">
        <v>1004.08</v>
      </c>
      <c r="E252" s="5">
        <f>ABS(C252-B252)/B252</f>
        <v/>
      </c>
      <c r="F252" s="5">
        <f>ABS(D252-B252)/B252</f>
        <v/>
      </c>
      <c r="G252">
        <f>IF(E252&lt;F252,"model","official")</f>
        <v/>
      </c>
    </row>
    <row r="253">
      <c r="A253" s="2" t="n">
        <v>45544</v>
      </c>
      <c r="B253" t="n">
        <v>1296.83</v>
      </c>
      <c r="C253" t="n">
        <v>1305.16</v>
      </c>
      <c r="D253" t="n">
        <v>1297.4</v>
      </c>
      <c r="E253" s="5">
        <f>ABS(C253-B253)/B253</f>
        <v/>
      </c>
      <c r="F253" s="5">
        <f>ABS(D253-B253)/B253</f>
        <v/>
      </c>
      <c r="G253">
        <f>IF(E253&lt;F253,"model","official")</f>
        <v/>
      </c>
    </row>
    <row r="254">
      <c r="A254" s="2" t="n">
        <v>45545</v>
      </c>
      <c r="B254" t="n">
        <v>1332.22</v>
      </c>
      <c r="C254" t="n">
        <v>1341.42</v>
      </c>
      <c r="D254" t="n">
        <v>1344.59</v>
      </c>
      <c r="E254" s="5">
        <f>ABS(C254-B254)/B254</f>
        <v/>
      </c>
      <c r="F254" s="5">
        <f>ABS(D254-B254)/B254</f>
        <v/>
      </c>
      <c r="G254">
        <f>IF(E254&lt;F254,"model","official")</f>
        <v/>
      </c>
    </row>
    <row r="255">
      <c r="A255" s="2" t="n">
        <v>45546</v>
      </c>
      <c r="B255" t="n">
        <v>1321.31</v>
      </c>
      <c r="C255" t="n">
        <v>1349.96</v>
      </c>
      <c r="D255" t="n">
        <v>1343.05</v>
      </c>
      <c r="E255" s="5">
        <f>ABS(C255-B255)/B255</f>
        <v/>
      </c>
      <c r="F255" s="5">
        <f>ABS(D255-B255)/B255</f>
        <v/>
      </c>
      <c r="G255">
        <f>IF(E255&lt;F255,"model","official")</f>
        <v/>
      </c>
    </row>
    <row r="256">
      <c r="A256" s="2" t="n">
        <v>45547</v>
      </c>
      <c r="B256" t="n">
        <v>1284.41</v>
      </c>
      <c r="C256" t="n">
        <v>1349.53</v>
      </c>
      <c r="D256" t="n">
        <v>1308.58</v>
      </c>
      <c r="E256" s="5">
        <f>ABS(C256-B256)/B256</f>
        <v/>
      </c>
      <c r="F256" s="5">
        <f>ABS(D256-B256)/B256</f>
        <v/>
      </c>
      <c r="G256">
        <f>IF(E256&lt;F256,"model","official")</f>
        <v/>
      </c>
    </row>
    <row r="257">
      <c r="A257" s="2" t="n">
        <v>45548</v>
      </c>
      <c r="B257" t="n">
        <v>1277.32</v>
      </c>
      <c r="C257" t="n">
        <v>1321.3</v>
      </c>
      <c r="D257" t="n">
        <v>1318.95</v>
      </c>
      <c r="E257" s="5">
        <f>ABS(C257-B257)/B257</f>
        <v/>
      </c>
      <c r="F257" s="5">
        <f>ABS(D257-B257)/B257</f>
        <v/>
      </c>
      <c r="G257">
        <f>IF(E257&lt;F257,"model","official")</f>
        <v/>
      </c>
    </row>
    <row r="258">
      <c r="A258" s="2" t="n">
        <v>45549</v>
      </c>
      <c r="B258" t="n">
        <v>1091.41</v>
      </c>
      <c r="C258" t="n">
        <v>1134.84</v>
      </c>
      <c r="D258" t="n">
        <v>1110.21</v>
      </c>
      <c r="E258" s="5">
        <f>ABS(C258-B258)/B258</f>
        <v/>
      </c>
      <c r="F258" s="5">
        <f>ABS(D258-B258)/B258</f>
        <v/>
      </c>
      <c r="G258">
        <f>IF(E258&lt;F258,"model","official")</f>
        <v/>
      </c>
    </row>
    <row r="259">
      <c r="A259" s="2" t="n">
        <v>45550</v>
      </c>
      <c r="B259" t="n">
        <v>1021.69</v>
      </c>
      <c r="C259" t="n">
        <v>1064.6</v>
      </c>
      <c r="D259" t="n">
        <v>1025.99</v>
      </c>
      <c r="E259" s="5">
        <f>ABS(C259-B259)/B259</f>
        <v/>
      </c>
      <c r="F259" s="5">
        <f>ABS(D259-B259)/B259</f>
        <v/>
      </c>
      <c r="G259">
        <f>IF(E259&lt;F259,"model","official")</f>
        <v/>
      </c>
    </row>
    <row r="260">
      <c r="A260" s="2" t="n">
        <v>45551</v>
      </c>
      <c r="B260" t="n">
        <v>1291.54</v>
      </c>
      <c r="C260" t="n">
        <v>1299.7</v>
      </c>
      <c r="D260" t="n">
        <v>1289.94</v>
      </c>
      <c r="E260" s="5">
        <f>ABS(C260-B260)/B260</f>
        <v/>
      </c>
      <c r="F260" s="5">
        <f>ABS(D260-B260)/B260</f>
        <v/>
      </c>
      <c r="G260">
        <f>IF(E260&lt;F260,"model","official")</f>
        <v/>
      </c>
    </row>
    <row r="261">
      <c r="A261" s="2" t="n">
        <v>45552</v>
      </c>
      <c r="B261" t="n">
        <v>1303.57</v>
      </c>
      <c r="C261" t="n">
        <v>1326.48</v>
      </c>
      <c r="D261" t="n">
        <v>1307.27</v>
      </c>
      <c r="E261" s="5">
        <f>ABS(C261-B261)/B261</f>
        <v/>
      </c>
      <c r="F261" s="5">
        <f>ABS(D261-B261)/B261</f>
        <v/>
      </c>
      <c r="G261">
        <f>IF(E261&lt;F261,"model","official")</f>
        <v/>
      </c>
    </row>
    <row r="262">
      <c r="A262" s="2" t="n">
        <v>45553</v>
      </c>
      <c r="B262" t="n">
        <v>1273.46</v>
      </c>
      <c r="C262" t="n">
        <v>1329.47</v>
      </c>
      <c r="D262" t="n">
        <v>1300.86</v>
      </c>
      <c r="E262" s="5">
        <f>ABS(C262-B262)/B262</f>
        <v/>
      </c>
      <c r="F262" s="5">
        <f>ABS(D262-B262)/B262</f>
        <v/>
      </c>
      <c r="G262">
        <f>IF(E262&lt;F262,"model","official")</f>
        <v/>
      </c>
    </row>
    <row r="263">
      <c r="A263" s="2" t="n">
        <v>45554</v>
      </c>
      <c r="B263" t="n">
        <v>1277.03</v>
      </c>
      <c r="C263" t="n">
        <v>1323.15</v>
      </c>
      <c r="D263" t="n">
        <v>1278.03</v>
      </c>
      <c r="E263" s="5">
        <f>ABS(C263-B263)/B263</f>
        <v/>
      </c>
      <c r="F263" s="5">
        <f>ABS(D263-B263)/B263</f>
        <v/>
      </c>
      <c r="G263">
        <f>IF(E263&lt;F263,"model","official")</f>
        <v/>
      </c>
    </row>
    <row r="264">
      <c r="A264" s="2" t="n">
        <v>45555</v>
      </c>
      <c r="B264" t="n">
        <v>1208.87</v>
      </c>
      <c r="C264" t="n">
        <v>1293.93</v>
      </c>
      <c r="D264" t="n">
        <v>1263.64</v>
      </c>
      <c r="E264" s="5">
        <f>ABS(C264-B264)/B264</f>
        <v/>
      </c>
      <c r="F264" s="5">
        <f>ABS(D264-B264)/B264</f>
        <v/>
      </c>
      <c r="G264">
        <f>IF(E264&lt;F264,"model","official")</f>
        <v/>
      </c>
    </row>
    <row r="265">
      <c r="A265" s="2" t="n">
        <v>45556</v>
      </c>
      <c r="B265" t="n">
        <v>1028.7</v>
      </c>
      <c r="C265" t="n">
        <v>1117.41</v>
      </c>
      <c r="D265" t="n">
        <v>1065.09</v>
      </c>
      <c r="E265" s="5">
        <f>ABS(C265-B265)/B265</f>
        <v/>
      </c>
      <c r="F265" s="5">
        <f>ABS(D265-B265)/B265</f>
        <v/>
      </c>
      <c r="G265">
        <f>IF(E265&lt;F265,"model","official")</f>
        <v/>
      </c>
    </row>
    <row r="266">
      <c r="A266" s="2" t="n">
        <v>45557</v>
      </c>
      <c r="B266" t="n">
        <v>945.73</v>
      </c>
      <c r="C266" t="n">
        <v>1043.74</v>
      </c>
      <c r="D266" t="n">
        <v>1007.61</v>
      </c>
      <c r="E266" s="5">
        <f>ABS(C266-B266)/B266</f>
        <v/>
      </c>
      <c r="F266" s="5">
        <f>ABS(D266-B266)/B266</f>
        <v/>
      </c>
      <c r="G266">
        <f>IF(E266&lt;F266,"model","official")</f>
        <v/>
      </c>
    </row>
    <row r="267">
      <c r="A267" s="2" t="n">
        <v>45558</v>
      </c>
      <c r="B267" t="n">
        <v>1206.29</v>
      </c>
      <c r="C267" t="n">
        <v>1266.66</v>
      </c>
      <c r="D267" t="n">
        <v>1268.58</v>
      </c>
      <c r="E267" s="5">
        <f>ABS(C267-B267)/B267</f>
        <v/>
      </c>
      <c r="F267" s="5">
        <f>ABS(D267-B267)/B267</f>
        <v/>
      </c>
      <c r="G267">
        <f>IF(E267&lt;F267,"model","official")</f>
        <v/>
      </c>
    </row>
    <row r="268">
      <c r="A268" s="2" t="n">
        <v>45559</v>
      </c>
      <c r="B268" t="n">
        <v>1260.84</v>
      </c>
      <c r="C268" t="n">
        <v>1283.22</v>
      </c>
      <c r="D268" t="n">
        <v>1304.63</v>
      </c>
      <c r="E268" s="5">
        <f>ABS(C268-B268)/B268</f>
        <v/>
      </c>
      <c r="F268" s="5">
        <f>ABS(D268-B268)/B268</f>
        <v/>
      </c>
      <c r="G268">
        <f>IF(E268&lt;F268,"model","official")</f>
        <v/>
      </c>
    </row>
    <row r="269">
      <c r="A269" s="2" t="n">
        <v>45560</v>
      </c>
      <c r="B269" t="n">
        <v>1293.65</v>
      </c>
      <c r="C269" t="n">
        <v>1273.29</v>
      </c>
      <c r="D269" t="n">
        <v>1303.77</v>
      </c>
      <c r="E269" s="5">
        <f>ABS(C269-B269)/B269</f>
        <v/>
      </c>
      <c r="F269" s="5">
        <f>ABS(D269-B269)/B269</f>
        <v/>
      </c>
      <c r="G269">
        <f>IF(E269&lt;F269,"model","official")</f>
        <v/>
      </c>
    </row>
    <row r="270">
      <c r="A270" s="2" t="n">
        <v>45561</v>
      </c>
      <c r="B270" t="n">
        <v>1321.37</v>
      </c>
      <c r="C270" t="n">
        <v>1266.15</v>
      </c>
      <c r="D270" t="n">
        <v>1282.83</v>
      </c>
      <c r="E270" s="5">
        <f>ABS(C270-B270)/B270</f>
        <v/>
      </c>
      <c r="F270" s="5">
        <f>ABS(D270-B270)/B270</f>
        <v/>
      </c>
      <c r="G270">
        <f>IF(E270&lt;F270,"model","official")</f>
        <v/>
      </c>
    </row>
    <row r="271">
      <c r="A271" s="2" t="n">
        <v>45562</v>
      </c>
      <c r="B271" t="n">
        <v>1337.46</v>
      </c>
      <c r="C271" t="n">
        <v>1245.5</v>
      </c>
      <c r="D271" t="n">
        <v>1274.49</v>
      </c>
      <c r="E271" s="5">
        <f>ABS(C271-B271)/B271</f>
        <v/>
      </c>
      <c r="F271" s="5">
        <f>ABS(D271-B271)/B271</f>
        <v/>
      </c>
      <c r="G271">
        <f>IF(E271&lt;F271,"model","official")</f>
        <v/>
      </c>
    </row>
    <row r="272">
      <c r="A272" s="2" t="n">
        <v>45563</v>
      </c>
      <c r="B272" t="n">
        <v>1146.37</v>
      </c>
      <c r="C272" t="n">
        <v>1081.77</v>
      </c>
      <c r="D272" t="n">
        <v>1093.88</v>
      </c>
      <c r="E272" s="5">
        <f>ABS(C272-B272)/B272</f>
        <v/>
      </c>
      <c r="F272" s="5">
        <f>ABS(D272-B272)/B272</f>
        <v/>
      </c>
      <c r="G272">
        <f>IF(E272&lt;F272,"model","official")</f>
        <v/>
      </c>
    </row>
    <row r="273">
      <c r="A273" s="2" t="n">
        <v>45564</v>
      </c>
      <c r="B273" t="n">
        <v>1039.37</v>
      </c>
      <c r="C273" t="n">
        <v>1032.8</v>
      </c>
      <c r="D273" t="n">
        <v>1011.59</v>
      </c>
      <c r="E273" s="5">
        <f>ABS(C273-B273)/B273</f>
        <v/>
      </c>
      <c r="F273" s="5">
        <f>ABS(D273-B273)/B273</f>
        <v/>
      </c>
      <c r="G273">
        <f>IF(E273&lt;F273,"model","official")</f>
        <v/>
      </c>
    </row>
    <row r="274">
      <c r="A274" s="2" t="n">
        <v>45565</v>
      </c>
      <c r="B274" t="n">
        <v>1326.56</v>
      </c>
      <c r="C274" t="n">
        <v>1279.71</v>
      </c>
      <c r="D274" t="n">
        <v>1314.83</v>
      </c>
      <c r="E274" s="5">
        <f>ABS(C274-B274)/B274</f>
        <v/>
      </c>
      <c r="F274" s="5">
        <f>ABS(D274-B274)/B274</f>
        <v/>
      </c>
      <c r="G274">
        <f>IF(E274&lt;F274,"model","official")</f>
        <v/>
      </c>
    </row>
    <row r="275">
      <c r="A275" s="2" t="n">
        <v>45566</v>
      </c>
      <c r="B275" t="n">
        <v>1339.66</v>
      </c>
      <c r="C275" t="n">
        <v>1323.17</v>
      </c>
      <c r="D275" t="n">
        <v>1359.38</v>
      </c>
      <c r="E275" s="5">
        <f>ABS(C275-B275)/B275</f>
        <v/>
      </c>
      <c r="F275" s="5">
        <f>ABS(D275-B275)/B275</f>
        <v/>
      </c>
      <c r="G275">
        <f>IF(E275&lt;F275,"model","official")</f>
        <v/>
      </c>
    </row>
    <row r="276">
      <c r="A276" s="2" t="n">
        <v>45567</v>
      </c>
      <c r="B276" t="n">
        <v>1318.95</v>
      </c>
      <c r="C276" t="n">
        <v>1346.05</v>
      </c>
      <c r="D276" t="n">
        <v>1348.66</v>
      </c>
      <c r="E276" s="5">
        <f>ABS(C276-B276)/B276</f>
        <v/>
      </c>
      <c r="F276" s="5">
        <f>ABS(D276-B276)/B276</f>
        <v/>
      </c>
      <c r="G276">
        <f>IF(E276&lt;F276,"model","official")</f>
        <v/>
      </c>
    </row>
    <row r="277">
      <c r="A277" s="2" t="n">
        <v>45568</v>
      </c>
      <c r="B277" t="n">
        <v>1095.67</v>
      </c>
      <c r="C277" t="n">
        <v>1145.32</v>
      </c>
      <c r="D277" t="n">
        <v>1033.89</v>
      </c>
      <c r="E277" s="5">
        <f>ABS(C277-B277)/B277</f>
        <v/>
      </c>
      <c r="F277" s="5">
        <f>ABS(D277-B277)/B277</f>
        <v/>
      </c>
      <c r="G277">
        <f>IF(E277&lt;F277,"model","official")</f>
        <v/>
      </c>
    </row>
    <row r="278">
      <c r="A278" s="2" t="n">
        <v>45569</v>
      </c>
      <c r="B278" t="n">
        <v>1156.94</v>
      </c>
      <c r="C278" t="n">
        <v>1206.76</v>
      </c>
      <c r="D278" t="n">
        <v>1247.84</v>
      </c>
      <c r="E278" s="5">
        <f>ABS(C278-B278)/B278</f>
        <v/>
      </c>
      <c r="F278" s="5">
        <f>ABS(D278-B278)/B278</f>
        <v/>
      </c>
      <c r="G278">
        <f>IF(E278&lt;F278,"model","official")</f>
        <v/>
      </c>
    </row>
    <row r="279">
      <c r="A279" s="2" t="n">
        <v>45570</v>
      </c>
      <c r="B279" t="n">
        <v>1066.27</v>
      </c>
      <c r="C279" t="n">
        <v>1128.6</v>
      </c>
      <c r="D279" t="n">
        <v>1135.06</v>
      </c>
      <c r="E279" s="5">
        <f>ABS(C279-B279)/B279</f>
        <v/>
      </c>
      <c r="F279" s="5">
        <f>ABS(D279-B279)/B279</f>
        <v/>
      </c>
      <c r="G279">
        <f>IF(E279&lt;F279,"model","official")</f>
        <v/>
      </c>
    </row>
    <row r="280">
      <c r="A280" s="2" t="n">
        <v>45571</v>
      </c>
      <c r="B280" t="n">
        <v>1017.6</v>
      </c>
      <c r="C280" t="n">
        <v>1039.46</v>
      </c>
      <c r="D280" t="n">
        <v>1038.15</v>
      </c>
      <c r="E280" s="5">
        <f>ABS(C280-B280)/B280</f>
        <v/>
      </c>
      <c r="F280" s="5">
        <f>ABS(D280-B280)/B280</f>
        <v/>
      </c>
      <c r="G280">
        <f>IF(E280&lt;F280,"model","official")</f>
        <v/>
      </c>
    </row>
    <row r="281">
      <c r="A281" s="2" t="n">
        <v>45572</v>
      </c>
      <c r="B281" t="n">
        <v>1287.63</v>
      </c>
      <c r="C281" t="n">
        <v>1259.01</v>
      </c>
      <c r="D281" t="n">
        <v>1269.77</v>
      </c>
      <c r="E281" s="5">
        <f>ABS(C281-B281)/B281</f>
        <v/>
      </c>
      <c r="F281" s="5">
        <f>ABS(D281-B281)/B281</f>
        <v/>
      </c>
      <c r="G281">
        <f>IF(E281&lt;F281,"model","official")</f>
        <v/>
      </c>
    </row>
    <row r="282">
      <c r="A282" s="2" t="n">
        <v>45573</v>
      </c>
      <c r="B282" t="n">
        <v>1308.47</v>
      </c>
      <c r="C282" t="n">
        <v>1280.41</v>
      </c>
      <c r="D282" t="n">
        <v>1296.28</v>
      </c>
      <c r="E282" s="5">
        <f>ABS(C282-B282)/B282</f>
        <v/>
      </c>
      <c r="F282" s="5">
        <f>ABS(D282-B282)/B282</f>
        <v/>
      </c>
      <c r="G282">
        <f>IF(E282&lt;F282,"model","official")</f>
        <v/>
      </c>
    </row>
    <row r="283">
      <c r="A283" s="2" t="n">
        <v>45574</v>
      </c>
      <c r="B283" t="n">
        <v>1311.44</v>
      </c>
      <c r="C283" t="n">
        <v>1276.83</v>
      </c>
      <c r="D283" t="n">
        <v>1291.31</v>
      </c>
      <c r="E283" s="5">
        <f>ABS(C283-B283)/B283</f>
        <v/>
      </c>
      <c r="F283" s="5">
        <f>ABS(D283-B283)/B283</f>
        <v/>
      </c>
      <c r="G283">
        <f>IF(E283&lt;F283,"model","official")</f>
        <v/>
      </c>
    </row>
    <row r="284">
      <c r="A284" s="2" t="n">
        <v>45575</v>
      </c>
      <c r="B284" t="n">
        <v>1348.68</v>
      </c>
      <c r="C284" t="n">
        <v>1262.06</v>
      </c>
      <c r="D284" t="n">
        <v>1339.65</v>
      </c>
      <c r="E284" s="5">
        <f>ABS(C284-B284)/B284</f>
        <v/>
      </c>
      <c r="F284" s="5">
        <f>ABS(D284-B284)/B284</f>
        <v/>
      </c>
      <c r="G284">
        <f>IF(E284&lt;F284,"model","official")</f>
        <v/>
      </c>
    </row>
    <row r="285">
      <c r="A285" s="2" t="n">
        <v>45576</v>
      </c>
      <c r="B285" t="n">
        <v>1316.34</v>
      </c>
      <c r="C285" t="n">
        <v>1242.48</v>
      </c>
      <c r="D285" t="n">
        <v>1314.87</v>
      </c>
      <c r="E285" s="5">
        <f>ABS(C285-B285)/B285</f>
        <v/>
      </c>
      <c r="F285" s="5">
        <f>ABS(D285-B285)/B285</f>
        <v/>
      </c>
      <c r="G285">
        <f>IF(E285&lt;F285,"model","official")</f>
        <v/>
      </c>
    </row>
    <row r="286">
      <c r="A286" s="2" t="n">
        <v>45577</v>
      </c>
      <c r="B286" t="n">
        <v>1131.57</v>
      </c>
      <c r="C286" t="n">
        <v>1108.2</v>
      </c>
      <c r="D286" t="n">
        <v>1115.85</v>
      </c>
      <c r="E286" s="5">
        <f>ABS(C286-B286)/B286</f>
        <v/>
      </c>
      <c r="F286" s="5">
        <f>ABS(D286-B286)/B286</f>
        <v/>
      </c>
      <c r="G286">
        <f>IF(E286&lt;F286,"model","official")</f>
        <v/>
      </c>
    </row>
    <row r="287">
      <c r="A287" s="2" t="n">
        <v>45578</v>
      </c>
      <c r="B287" t="n">
        <v>1082.44</v>
      </c>
      <c r="C287" t="n">
        <v>1061.07</v>
      </c>
      <c r="D287" t="n">
        <v>1052.01</v>
      </c>
      <c r="E287" s="5">
        <f>ABS(C287-B287)/B287</f>
        <v/>
      </c>
      <c r="F287" s="5">
        <f>ABS(D287-B287)/B287</f>
        <v/>
      </c>
      <c r="G287">
        <f>IF(E287&lt;F287,"model","official")</f>
        <v/>
      </c>
    </row>
    <row r="288">
      <c r="A288" s="2" t="n">
        <v>45579</v>
      </c>
      <c r="B288" t="n">
        <v>1311.61</v>
      </c>
      <c r="C288" t="n">
        <v>1309.69</v>
      </c>
      <c r="D288" t="n">
        <v>1317.71</v>
      </c>
      <c r="E288" s="5">
        <f>ABS(C288-B288)/B288</f>
        <v/>
      </c>
      <c r="F288" s="5">
        <f>ABS(D288-B288)/B288</f>
        <v/>
      </c>
      <c r="G288">
        <f>IF(E288&lt;F288,"model","official")</f>
        <v/>
      </c>
    </row>
    <row r="289">
      <c r="A289" s="2" t="n">
        <v>45580</v>
      </c>
      <c r="B289" t="n">
        <v>1315.37</v>
      </c>
      <c r="C289" t="n">
        <v>1347.3</v>
      </c>
      <c r="D289" t="n">
        <v>1341.91</v>
      </c>
      <c r="E289" s="5">
        <f>ABS(C289-B289)/B289</f>
        <v/>
      </c>
      <c r="F289" s="5">
        <f>ABS(D289-B289)/B289</f>
        <v/>
      </c>
      <c r="G289">
        <f>IF(E289&lt;F289,"model","official")</f>
        <v/>
      </c>
    </row>
    <row r="290">
      <c r="A290" s="2" t="n">
        <v>45581</v>
      </c>
      <c r="B290" t="n">
        <v>1352.29</v>
      </c>
      <c r="C290" t="n">
        <v>1354.04</v>
      </c>
      <c r="D290" t="n">
        <v>1345.44</v>
      </c>
      <c r="E290" s="5">
        <f>ABS(C290-B290)/B290</f>
        <v/>
      </c>
      <c r="F290" s="5">
        <f>ABS(D290-B290)/B290</f>
        <v/>
      </c>
      <c r="G290">
        <f>IF(E290&lt;F290,"model","official")</f>
        <v/>
      </c>
    </row>
    <row r="291">
      <c r="A291" s="2" t="n">
        <v>45582</v>
      </c>
      <c r="B291" t="n">
        <v>1343.94</v>
      </c>
      <c r="C291" t="n">
        <v>1355.29</v>
      </c>
      <c r="D291" t="n">
        <v>1335.73</v>
      </c>
      <c r="E291" s="5">
        <f>ABS(C291-B291)/B291</f>
        <v/>
      </c>
      <c r="F291" s="5">
        <f>ABS(D291-B291)/B291</f>
        <v/>
      </c>
      <c r="G291">
        <f>IF(E291&lt;F291,"model","official")</f>
        <v/>
      </c>
    </row>
    <row r="292">
      <c r="A292" s="2" t="n">
        <v>45583</v>
      </c>
      <c r="B292" t="n">
        <v>1284.74</v>
      </c>
      <c r="C292" t="n">
        <v>1337.32</v>
      </c>
      <c r="D292" t="n">
        <v>1291.26</v>
      </c>
      <c r="E292" s="5">
        <f>ABS(C292-B292)/B292</f>
        <v/>
      </c>
      <c r="F292" s="5">
        <f>ABS(D292-B292)/B292</f>
        <v/>
      </c>
      <c r="G292">
        <f>IF(E292&lt;F292,"model","official")</f>
        <v/>
      </c>
    </row>
    <row r="293">
      <c r="A293" s="2" t="n">
        <v>45584</v>
      </c>
      <c r="B293" t="n">
        <v>1126.9</v>
      </c>
      <c r="C293" t="n">
        <v>1154.93</v>
      </c>
      <c r="D293" t="n">
        <v>1118.39</v>
      </c>
      <c r="E293" s="5">
        <f>ABS(C293-B293)/B293</f>
        <v/>
      </c>
      <c r="F293" s="5">
        <f>ABS(D293-B293)/B293</f>
        <v/>
      </c>
      <c r="G293">
        <f>IF(E293&lt;F293,"model","official")</f>
        <v/>
      </c>
    </row>
    <row r="294">
      <c r="A294" s="2" t="n">
        <v>45585</v>
      </c>
      <c r="B294" t="n">
        <v>1051.86</v>
      </c>
      <c r="C294" t="n">
        <v>1082.59</v>
      </c>
      <c r="D294" t="n">
        <v>1057.16</v>
      </c>
      <c r="E294" s="5">
        <f>ABS(C294-B294)/B294</f>
        <v/>
      </c>
      <c r="F294" s="5">
        <f>ABS(D294-B294)/B294</f>
        <v/>
      </c>
      <c r="G294">
        <f>IF(E294&lt;F294,"model","official")</f>
        <v/>
      </c>
    </row>
    <row r="295">
      <c r="A295" s="2" t="n">
        <v>45586</v>
      </c>
      <c r="B295" t="n">
        <v>1302.11</v>
      </c>
      <c r="C295" t="n">
        <v>1323.76</v>
      </c>
      <c r="D295" t="n">
        <v>1303.22</v>
      </c>
      <c r="E295" s="5">
        <f>ABS(C295-B295)/B295</f>
        <v/>
      </c>
      <c r="F295" s="5">
        <f>ABS(D295-B295)/B295</f>
        <v/>
      </c>
      <c r="G295">
        <f>IF(E295&lt;F295,"model","official")</f>
        <v/>
      </c>
    </row>
    <row r="296">
      <c r="A296" s="2" t="n">
        <v>45587</v>
      </c>
      <c r="B296" t="n">
        <v>1331.71</v>
      </c>
      <c r="C296" t="n">
        <v>1346.93</v>
      </c>
      <c r="D296" t="n">
        <v>1339.41</v>
      </c>
      <c r="E296" s="5">
        <f>ABS(C296-B296)/B296</f>
        <v/>
      </c>
      <c r="F296" s="5">
        <f>ABS(D296-B296)/B296</f>
        <v/>
      </c>
      <c r="G296">
        <f>IF(E296&lt;F296,"model","official")</f>
        <v/>
      </c>
    </row>
    <row r="297">
      <c r="A297" s="2" t="n">
        <v>45588</v>
      </c>
      <c r="B297" t="n">
        <v>1328.51</v>
      </c>
      <c r="C297" t="n">
        <v>1350.07</v>
      </c>
      <c r="D297" t="n">
        <v>1330.63</v>
      </c>
      <c r="E297" s="5">
        <f>ABS(C297-B297)/B297</f>
        <v/>
      </c>
      <c r="F297" s="5">
        <f>ABS(D297-B297)/B297</f>
        <v/>
      </c>
      <c r="G297">
        <f>IF(E297&lt;F297,"model","official")</f>
        <v/>
      </c>
    </row>
    <row r="298">
      <c r="A298" s="2" t="n">
        <v>45589</v>
      </c>
      <c r="B298" t="n">
        <v>1320.36</v>
      </c>
      <c r="C298" t="n">
        <v>1350.98</v>
      </c>
      <c r="D298" t="n">
        <v>1339.62</v>
      </c>
      <c r="E298" s="5">
        <f>ABS(C298-B298)/B298</f>
        <v/>
      </c>
      <c r="F298" s="5">
        <f>ABS(D298-B298)/B298</f>
        <v/>
      </c>
      <c r="G298">
        <f>IF(E298&lt;F298,"model","official")</f>
        <v/>
      </c>
    </row>
    <row r="299">
      <c r="A299" s="2" t="n">
        <v>45590</v>
      </c>
      <c r="B299" t="n">
        <v>1282.76</v>
      </c>
      <c r="C299" t="n">
        <v>1322.69</v>
      </c>
      <c r="D299" t="n">
        <v>1309.04</v>
      </c>
      <c r="E299" s="5">
        <f>ABS(C299-B299)/B299</f>
        <v/>
      </c>
      <c r="F299" s="5">
        <f>ABS(D299-B299)/B299</f>
        <v/>
      </c>
      <c r="G299">
        <f>IF(E299&lt;F299,"model","official")</f>
        <v/>
      </c>
    </row>
    <row r="300">
      <c r="A300" s="2" t="n">
        <v>45591</v>
      </c>
      <c r="B300" t="n">
        <v>1086.09</v>
      </c>
      <c r="C300" t="n">
        <v>1140.86</v>
      </c>
      <c r="D300" t="n">
        <v>1113.09</v>
      </c>
      <c r="E300" s="5">
        <f>ABS(C300-B300)/B300</f>
        <v/>
      </c>
      <c r="F300" s="5">
        <f>ABS(D300-B300)/B300</f>
        <v/>
      </c>
      <c r="G300">
        <f>IF(E300&lt;F300,"model","official")</f>
        <v/>
      </c>
    </row>
    <row r="301">
      <c r="A301" s="2" t="n">
        <v>45592</v>
      </c>
      <c r="B301" t="n">
        <v>1096.05</v>
      </c>
      <c r="C301" t="n">
        <v>1071.89</v>
      </c>
      <c r="D301" t="n">
        <v>1086.26</v>
      </c>
      <c r="E301" s="5">
        <f>ABS(C301-B301)/B301</f>
        <v/>
      </c>
      <c r="F301" s="5">
        <f>ABS(D301-B301)/B301</f>
        <v/>
      </c>
      <c r="G301">
        <f>IF(E301&lt;F301,"model","official")</f>
        <v/>
      </c>
    </row>
    <row r="302">
      <c r="A302" s="2" t="n">
        <v>45593</v>
      </c>
      <c r="B302" t="n">
        <v>1300.08</v>
      </c>
      <c r="C302" t="n">
        <v>1306.6</v>
      </c>
      <c r="D302" t="n">
        <v>1322.1</v>
      </c>
      <c r="E302" s="5">
        <f>ABS(C302-B302)/B302</f>
        <v/>
      </c>
      <c r="F302" s="5">
        <f>ABS(D302-B302)/B302</f>
        <v/>
      </c>
      <c r="G302">
        <f>IF(E302&lt;F302,"model","official")</f>
        <v/>
      </c>
    </row>
    <row r="303">
      <c r="A303" s="2" t="n">
        <v>45594</v>
      </c>
      <c r="B303" t="n">
        <v>1309.61</v>
      </c>
      <c r="C303" t="n">
        <v>1341.53</v>
      </c>
      <c r="D303" t="n">
        <v>1356.47</v>
      </c>
      <c r="E303" s="5">
        <f>ABS(C303-B303)/B303</f>
        <v/>
      </c>
      <c r="F303" s="5">
        <f>ABS(D303-B303)/B303</f>
        <v/>
      </c>
      <c r="G303">
        <f>IF(E303&lt;F303,"model","official")</f>
        <v/>
      </c>
    </row>
    <row r="304">
      <c r="A304" s="2" t="n">
        <v>45595</v>
      </c>
      <c r="B304" t="n">
        <v>1343.6</v>
      </c>
      <c r="C304" t="n">
        <v>1344.29</v>
      </c>
      <c r="D304" t="n">
        <v>1355.39</v>
      </c>
      <c r="E304" s="5">
        <f>ABS(C304-B304)/B304</f>
        <v/>
      </c>
      <c r="F304" s="5">
        <f>ABS(D304-B304)/B304</f>
        <v/>
      </c>
      <c r="G304">
        <f>IF(E304&lt;F304,"model","official")</f>
        <v/>
      </c>
    </row>
    <row r="305">
      <c r="A305" s="2" t="n">
        <v>45596</v>
      </c>
      <c r="B305" t="n">
        <v>1268.13</v>
      </c>
      <c r="C305" t="n">
        <v>1246.4</v>
      </c>
      <c r="D305" t="n">
        <v>1306.85</v>
      </c>
      <c r="E305" s="5">
        <f>ABS(C305-B305)/B305</f>
        <v/>
      </c>
      <c r="F305" s="5">
        <f>ABS(D305-B305)/B305</f>
        <v/>
      </c>
      <c r="G305">
        <f>IF(E305&lt;F305,"model","official")</f>
        <v/>
      </c>
    </row>
    <row r="306">
      <c r="A306" s="2" t="n">
        <v>45597</v>
      </c>
      <c r="B306" t="n">
        <v>1219.06</v>
      </c>
      <c r="C306" t="n">
        <v>1143.51</v>
      </c>
      <c r="D306" t="n">
        <v>1145.34</v>
      </c>
      <c r="E306" s="5">
        <f>ABS(C306-B306)/B306</f>
        <v/>
      </c>
      <c r="F306" s="5">
        <f>ABS(D306-B306)/B306</f>
        <v/>
      </c>
      <c r="G306">
        <f>IF(E306&lt;F306,"model","official")</f>
        <v/>
      </c>
    </row>
    <row r="307">
      <c r="A307" s="2" t="n">
        <v>45598</v>
      </c>
      <c r="B307" t="n">
        <v>1141.28</v>
      </c>
      <c r="C307" t="n">
        <v>1131.85</v>
      </c>
      <c r="D307" t="n">
        <v>1124.72</v>
      </c>
      <c r="E307" s="5">
        <f>ABS(C307-B307)/B307</f>
        <v/>
      </c>
      <c r="F307" s="5">
        <f>ABS(D307-B307)/B307</f>
        <v/>
      </c>
      <c r="G307">
        <f>IF(E307&lt;F307,"model","official")</f>
        <v/>
      </c>
    </row>
    <row r="308">
      <c r="A308" s="2" t="n">
        <v>45599</v>
      </c>
      <c r="B308" t="n">
        <v>1126.54</v>
      </c>
      <c r="C308" t="n">
        <v>1059.42</v>
      </c>
      <c r="D308" t="n">
        <v>1055.24</v>
      </c>
      <c r="E308" s="5">
        <f>ABS(C308-B308)/B308</f>
        <v/>
      </c>
      <c r="F308" s="5">
        <f>ABS(D308-B308)/B308</f>
        <v/>
      </c>
      <c r="G308">
        <f>IF(E308&lt;F308,"model","official")</f>
        <v/>
      </c>
    </row>
    <row r="309">
      <c r="A309" s="2" t="n">
        <v>45600</v>
      </c>
      <c r="B309" t="n">
        <v>1335.93</v>
      </c>
      <c r="C309" t="n">
        <v>1303.18</v>
      </c>
      <c r="D309" t="n">
        <v>1332.69</v>
      </c>
      <c r="E309" s="5">
        <f>ABS(C309-B309)/B309</f>
        <v/>
      </c>
      <c r="F309" s="5">
        <f>ABS(D309-B309)/B309</f>
        <v/>
      </c>
      <c r="G309">
        <f>IF(E309&lt;F309,"model","official")</f>
        <v/>
      </c>
    </row>
    <row r="310">
      <c r="A310" s="2" t="n">
        <v>45601</v>
      </c>
      <c r="B310" t="n">
        <v>1385.39</v>
      </c>
      <c r="C310" t="n">
        <v>1335</v>
      </c>
      <c r="D310" t="n">
        <v>1371.01</v>
      </c>
      <c r="E310" s="5">
        <f>ABS(C310-B310)/B310</f>
        <v/>
      </c>
      <c r="F310" s="5">
        <f>ABS(D310-B310)/B310</f>
        <v/>
      </c>
      <c r="G310">
        <f>IF(E310&lt;F310,"model","official")</f>
        <v/>
      </c>
    </row>
    <row r="311">
      <c r="A311" s="2" t="n">
        <v>45602</v>
      </c>
      <c r="B311" t="n">
        <v>1414.78</v>
      </c>
      <c r="C311" t="n">
        <v>1344.9</v>
      </c>
      <c r="D311" t="n">
        <v>1379.32</v>
      </c>
      <c r="E311" s="5">
        <f>ABS(C311-B311)/B311</f>
        <v/>
      </c>
      <c r="F311" s="5">
        <f>ABS(D311-B311)/B311</f>
        <v/>
      </c>
      <c r="G311">
        <f>IF(E311&lt;F311,"model","official")</f>
        <v/>
      </c>
    </row>
    <row r="312">
      <c r="A312" s="2" t="n">
        <v>45603</v>
      </c>
      <c r="B312" t="n">
        <v>1421.13</v>
      </c>
      <c r="C312" t="n">
        <v>1352.38</v>
      </c>
      <c r="D312" t="n">
        <v>1337.92</v>
      </c>
      <c r="E312" s="5">
        <f>ABS(C312-B312)/B312</f>
        <v/>
      </c>
      <c r="F312" s="5">
        <f>ABS(D312-B312)/B312</f>
        <v/>
      </c>
      <c r="G312">
        <f>IF(E312&lt;F312,"model","official")</f>
        <v/>
      </c>
    </row>
    <row r="313">
      <c r="A313" s="2" t="n">
        <v>45604</v>
      </c>
      <c r="B313" t="n">
        <v>1406.85</v>
      </c>
      <c r="C313" t="n">
        <v>1338.04</v>
      </c>
      <c r="D313" t="n">
        <v>1338.15</v>
      </c>
      <c r="E313" s="5">
        <f>ABS(C313-B313)/B313</f>
        <v/>
      </c>
      <c r="F313" s="5">
        <f>ABS(D313-B313)/B313</f>
        <v/>
      </c>
      <c r="G313">
        <f>IF(E313&lt;F313,"model","official")</f>
        <v/>
      </c>
    </row>
    <row r="314">
      <c r="A314" s="2" t="n">
        <v>45605</v>
      </c>
      <c r="B314" t="n">
        <v>1201.02</v>
      </c>
      <c r="C314" t="n">
        <v>1179.37</v>
      </c>
      <c r="D314" t="n">
        <v>1129.65</v>
      </c>
      <c r="E314" s="5">
        <f>ABS(C314-B314)/B314</f>
        <v/>
      </c>
      <c r="F314" s="5">
        <f>ABS(D314-B314)/B314</f>
        <v/>
      </c>
      <c r="G314">
        <f>IF(E314&lt;F314,"model","official")</f>
        <v/>
      </c>
    </row>
    <row r="315">
      <c r="A315" s="2" t="n">
        <v>45606</v>
      </c>
      <c r="B315" t="n">
        <v>1141.52</v>
      </c>
      <c r="C315" t="n">
        <v>1133.51</v>
      </c>
      <c r="D315" t="n">
        <v>1076.05</v>
      </c>
      <c r="E315" s="5">
        <f>ABS(C315-B315)/B315</f>
        <v/>
      </c>
      <c r="F315" s="5">
        <f>ABS(D315-B315)/B315</f>
        <v/>
      </c>
      <c r="G315">
        <f>IF(E315&lt;F315,"model","official")</f>
        <v/>
      </c>
    </row>
    <row r="316">
      <c r="A316" s="2" t="n">
        <v>45607</v>
      </c>
      <c r="B316" t="n">
        <v>1430.76</v>
      </c>
      <c r="C316" t="n">
        <v>1394.6</v>
      </c>
      <c r="D316" t="n">
        <v>1354.33</v>
      </c>
      <c r="E316" s="5">
        <f>ABS(C316-B316)/B316</f>
        <v/>
      </c>
      <c r="F316" s="5">
        <f>ABS(D316-B316)/B316</f>
        <v/>
      </c>
      <c r="G316">
        <f>IF(E316&lt;F316,"model","official")</f>
        <v/>
      </c>
    </row>
    <row r="317">
      <c r="A317" s="2" t="n">
        <v>45608</v>
      </c>
      <c r="B317" t="n">
        <v>1439.92</v>
      </c>
      <c r="C317" t="n">
        <v>1427.77</v>
      </c>
      <c r="D317" t="n">
        <v>1398.16</v>
      </c>
      <c r="E317" s="5">
        <f>ABS(C317-B317)/B317</f>
        <v/>
      </c>
      <c r="F317" s="5">
        <f>ABS(D317-B317)/B317</f>
        <v/>
      </c>
      <c r="G317">
        <f>IF(E317&lt;F317,"model","official")</f>
        <v/>
      </c>
    </row>
    <row r="318">
      <c r="A318" s="2" t="n">
        <v>45609</v>
      </c>
      <c r="B318" t="n">
        <v>1475.45</v>
      </c>
      <c r="C318" t="n">
        <v>1446.65</v>
      </c>
      <c r="D318" t="n">
        <v>1383.1</v>
      </c>
      <c r="E318" s="5">
        <f>ABS(C318-B318)/B318</f>
        <v/>
      </c>
      <c r="F318" s="5">
        <f>ABS(D318-B318)/B318</f>
        <v/>
      </c>
      <c r="G318">
        <f>IF(E318&lt;F318,"model","official")</f>
        <v/>
      </c>
    </row>
    <row r="319">
      <c r="A319" s="2" t="n">
        <v>45610</v>
      </c>
      <c r="B319" t="n">
        <v>1482.97</v>
      </c>
      <c r="C319" t="n">
        <v>1454.32</v>
      </c>
      <c r="D319" t="n">
        <v>1396.66</v>
      </c>
      <c r="E319" s="5">
        <f>ABS(C319-B319)/B319</f>
        <v/>
      </c>
      <c r="F319" s="5">
        <f>ABS(D319-B319)/B319</f>
        <v/>
      </c>
      <c r="G319">
        <f>IF(E319&lt;F319,"model","official")</f>
        <v/>
      </c>
    </row>
    <row r="320">
      <c r="A320" s="2" t="n">
        <v>45611</v>
      </c>
      <c r="B320" t="n">
        <v>1434.14</v>
      </c>
      <c r="C320" t="n">
        <v>1438.4</v>
      </c>
      <c r="D320" t="n">
        <v>1379.09</v>
      </c>
      <c r="E320" s="5">
        <f>ABS(C320-B320)/B320</f>
        <v/>
      </c>
      <c r="F320" s="5">
        <f>ABS(D320-B320)/B320</f>
        <v/>
      </c>
      <c r="G320">
        <f>IF(E320&lt;F320,"model","official")</f>
        <v/>
      </c>
    </row>
    <row r="321">
      <c r="A321" s="2" t="n">
        <v>45612</v>
      </c>
      <c r="B321" t="n">
        <v>1304.62</v>
      </c>
      <c r="C321" t="n">
        <v>1250.73</v>
      </c>
      <c r="D321" t="n">
        <v>1180.83</v>
      </c>
      <c r="E321" s="5">
        <f>ABS(C321-B321)/B321</f>
        <v/>
      </c>
      <c r="F321" s="5">
        <f>ABS(D321-B321)/B321</f>
        <v/>
      </c>
      <c r="G321">
        <f>IF(E321&lt;F321,"model","official")</f>
        <v/>
      </c>
    </row>
    <row r="322">
      <c r="A322" s="2" t="n">
        <v>45613</v>
      </c>
      <c r="B322" t="n">
        <v>1239.26</v>
      </c>
      <c r="C322" t="n">
        <v>1180.23</v>
      </c>
      <c r="D322" t="n">
        <v>1118.96</v>
      </c>
      <c r="E322" s="5">
        <f>ABS(C322-B322)/B322</f>
        <v/>
      </c>
      <c r="F322" s="5">
        <f>ABS(D322-B322)/B322</f>
        <v/>
      </c>
      <c r="G322">
        <f>IF(E322&lt;F322,"model","official")</f>
        <v/>
      </c>
    </row>
    <row r="323">
      <c r="A323" s="2" t="n">
        <v>45614</v>
      </c>
      <c r="B323" t="n">
        <v>1507.17</v>
      </c>
      <c r="C323" t="n">
        <v>1461.31</v>
      </c>
      <c r="D323" t="n">
        <v>1390.81</v>
      </c>
      <c r="E323" s="5">
        <f>ABS(C323-B323)/B323</f>
        <v/>
      </c>
      <c r="F323" s="5">
        <f>ABS(D323-B323)/B323</f>
        <v/>
      </c>
      <c r="G323">
        <f>IF(E323&lt;F323,"model","official")</f>
        <v/>
      </c>
    </row>
    <row r="324">
      <c r="A324" s="2" t="n">
        <v>45615</v>
      </c>
      <c r="B324" t="n">
        <v>1493.54</v>
      </c>
      <c r="C324" t="n">
        <v>1506.66</v>
      </c>
      <c r="D324" t="n">
        <v>1431.51</v>
      </c>
      <c r="E324" s="5">
        <f>ABS(C324-B324)/B324</f>
        <v/>
      </c>
      <c r="F324" s="5">
        <f>ABS(D324-B324)/B324</f>
        <v/>
      </c>
      <c r="G324">
        <f>IF(E324&lt;F324,"model","official")</f>
        <v/>
      </c>
    </row>
    <row r="325">
      <c r="A325" s="2" t="n">
        <v>45616</v>
      </c>
      <c r="B325" t="n">
        <v>1500.27</v>
      </c>
      <c r="C325" t="n">
        <v>1523.45</v>
      </c>
      <c r="D325" t="n">
        <v>1363.04</v>
      </c>
      <c r="E325" s="5">
        <f>ABS(C325-B325)/B325</f>
        <v/>
      </c>
      <c r="F325" s="5">
        <f>ABS(D325-B325)/B325</f>
        <v/>
      </c>
      <c r="G325">
        <f>IF(E325&lt;F325,"model","official")</f>
        <v/>
      </c>
    </row>
    <row r="326">
      <c r="A326" s="2" t="n">
        <v>45617</v>
      </c>
      <c r="B326" t="n">
        <v>1533.26</v>
      </c>
      <c r="C326" t="n">
        <v>1531.18</v>
      </c>
      <c r="D326" t="n">
        <v>1428.56</v>
      </c>
      <c r="E326" s="5">
        <f>ABS(C326-B326)/B326</f>
        <v/>
      </c>
      <c r="F326" s="5">
        <f>ABS(D326-B326)/B326</f>
        <v/>
      </c>
      <c r="G326">
        <f>IF(E326&lt;F326,"model","official")</f>
        <v/>
      </c>
    </row>
    <row r="327">
      <c r="A327" s="2" t="n">
        <v>45618</v>
      </c>
      <c r="B327" t="n">
        <v>1507.95</v>
      </c>
      <c r="C327" t="n">
        <v>1507.56</v>
      </c>
      <c r="D327" t="n">
        <v>1417.37</v>
      </c>
      <c r="E327" s="5">
        <f>ABS(C327-B327)/B327</f>
        <v/>
      </c>
      <c r="F327" s="5">
        <f>ABS(D327-B327)/B327</f>
        <v/>
      </c>
      <c r="G327">
        <f>IF(E327&lt;F327,"model","official")</f>
        <v/>
      </c>
    </row>
    <row r="328">
      <c r="A328" s="2" t="n">
        <v>45619</v>
      </c>
      <c r="B328" t="n">
        <v>1331.65</v>
      </c>
      <c r="C328" t="n">
        <v>1312.34</v>
      </c>
      <c r="D328" t="n">
        <v>1212.28</v>
      </c>
      <c r="E328" s="5">
        <f>ABS(C328-B328)/B328</f>
        <v/>
      </c>
      <c r="F328" s="5">
        <f>ABS(D328-B328)/B328</f>
        <v/>
      </c>
      <c r="G328">
        <f>IF(E328&lt;F328,"model","official")</f>
        <v/>
      </c>
    </row>
    <row r="329">
      <c r="A329" s="2" t="n">
        <v>45620</v>
      </c>
      <c r="B329" t="n">
        <v>1238.42</v>
      </c>
      <c r="C329" t="n">
        <v>1243.83</v>
      </c>
      <c r="D329" t="n">
        <v>1112.72</v>
      </c>
      <c r="E329" s="5">
        <f>ABS(C329-B329)/B329</f>
        <v/>
      </c>
      <c r="F329" s="5">
        <f>ABS(D329-B329)/B329</f>
        <v/>
      </c>
      <c r="G329">
        <f>IF(E329&lt;F329,"model","official")</f>
        <v/>
      </c>
    </row>
    <row r="330">
      <c r="A330" s="2" t="n">
        <v>45621</v>
      </c>
      <c r="B330" t="n">
        <v>1459.59</v>
      </c>
      <c r="C330" t="n">
        <v>1526.57</v>
      </c>
      <c r="D330" t="n">
        <v>1369.23</v>
      </c>
      <c r="E330" s="5">
        <f>ABS(C330-B330)/B330</f>
        <v/>
      </c>
      <c r="F330" s="5">
        <f>ABS(D330-B330)/B330</f>
        <v/>
      </c>
      <c r="G330">
        <f>IF(E330&lt;F330,"model","official")</f>
        <v/>
      </c>
    </row>
    <row r="331">
      <c r="A331" s="2" t="n">
        <v>45622</v>
      </c>
      <c r="B331" t="n">
        <v>1492.43</v>
      </c>
      <c r="C331" t="n">
        <v>1557.94</v>
      </c>
      <c r="D331" t="n">
        <v>1415.27</v>
      </c>
      <c r="E331" s="5">
        <f>ABS(C331-B331)/B331</f>
        <v/>
      </c>
      <c r="F331" s="5">
        <f>ABS(D331-B331)/B331</f>
        <v/>
      </c>
      <c r="G331">
        <f>IF(E331&lt;F331,"model","official")</f>
        <v/>
      </c>
    </row>
    <row r="332">
      <c r="A332" s="2" t="n">
        <v>45623</v>
      </c>
      <c r="B332" t="n">
        <v>1485.73</v>
      </c>
      <c r="C332" t="n">
        <v>1555.46</v>
      </c>
      <c r="D332" t="n">
        <v>1413.62</v>
      </c>
      <c r="E332" s="5">
        <f>ABS(C332-B332)/B332</f>
        <v/>
      </c>
      <c r="F332" s="5">
        <f>ABS(D332-B332)/B332</f>
        <v/>
      </c>
      <c r="G332">
        <f>IF(E332&lt;F332,"model","official")</f>
        <v/>
      </c>
    </row>
    <row r="333">
      <c r="A333" s="2" t="n">
        <v>45624</v>
      </c>
      <c r="B333" t="n">
        <v>1502.97</v>
      </c>
      <c r="C333" t="n">
        <v>1556.17</v>
      </c>
      <c r="D333" t="n">
        <v>1427.9</v>
      </c>
      <c r="E333" s="5">
        <f>ABS(C333-B333)/B333</f>
        <v/>
      </c>
      <c r="F333" s="5">
        <f>ABS(D333-B333)/B333</f>
        <v/>
      </c>
      <c r="G333">
        <f>IF(E333&lt;F333,"model","official")</f>
        <v/>
      </c>
    </row>
    <row r="334">
      <c r="A334" s="2" t="n">
        <v>45625</v>
      </c>
      <c r="B334" t="n">
        <v>1427.94</v>
      </c>
      <c r="C334" t="n">
        <v>1527.45</v>
      </c>
      <c r="D334" t="n">
        <v>1398.92</v>
      </c>
      <c r="E334" s="5">
        <f>ABS(C334-B334)/B334</f>
        <v/>
      </c>
      <c r="F334" s="5">
        <f>ABS(D334-B334)/B334</f>
        <v/>
      </c>
      <c r="G334">
        <f>IF(E334&lt;F334,"model","official")</f>
        <v/>
      </c>
    </row>
    <row r="335">
      <c r="A335" s="2" t="n">
        <v>45626</v>
      </c>
      <c r="B335" t="n">
        <v>1295.02</v>
      </c>
      <c r="C335" t="n">
        <v>1317.99</v>
      </c>
      <c r="D335" t="n">
        <v>1199.4</v>
      </c>
      <c r="E335" s="5">
        <f>ABS(C335-B335)/B335</f>
        <v/>
      </c>
      <c r="F335" s="5">
        <f>ABS(D335-B335)/B335</f>
        <v/>
      </c>
      <c r="G335">
        <f>IF(E335&lt;F335,"model","official")</f>
        <v/>
      </c>
    </row>
    <row r="336">
      <c r="A336" s="2" t="n">
        <v>45627</v>
      </c>
      <c r="B336" t="n">
        <v>1240.47</v>
      </c>
      <c r="C336" t="n">
        <v>1229.93</v>
      </c>
      <c r="D336" t="n">
        <v>1148.19</v>
      </c>
      <c r="E336" s="5">
        <f>ABS(C336-B336)/B336</f>
        <v/>
      </c>
      <c r="F336" s="5">
        <f>ABS(D336-B336)/B336</f>
        <v/>
      </c>
      <c r="G336">
        <f>IF(E336&lt;F336,"model","official")</f>
        <v/>
      </c>
    </row>
    <row r="337">
      <c r="A337" s="2" t="n">
        <v>45628</v>
      </c>
      <c r="B337" t="n">
        <v>1491.68</v>
      </c>
      <c r="C337" t="n">
        <v>1498.57</v>
      </c>
      <c r="D337" t="n">
        <v>1385.68</v>
      </c>
      <c r="E337" s="5">
        <f>ABS(C337-B337)/B337</f>
        <v/>
      </c>
      <c r="F337" s="5">
        <f>ABS(D337-B337)/B337</f>
        <v/>
      </c>
      <c r="G337">
        <f>IF(E337&lt;F337,"model","official")</f>
        <v/>
      </c>
    </row>
    <row r="338">
      <c r="A338" s="2" t="n">
        <v>45629</v>
      </c>
      <c r="B338" t="n">
        <v>1492.62</v>
      </c>
      <c r="C338" t="n">
        <v>1532.81</v>
      </c>
      <c r="D338" t="n">
        <v>1434.88</v>
      </c>
      <c r="E338" s="5">
        <f>ABS(C338-B338)/B338</f>
        <v/>
      </c>
      <c r="F338" s="5">
        <f>ABS(D338-B338)/B338</f>
        <v/>
      </c>
      <c r="G338">
        <f>IF(E338&lt;F338,"model","official")</f>
        <v/>
      </c>
    </row>
    <row r="339">
      <c r="A339" s="2" t="n">
        <v>45630</v>
      </c>
      <c r="B339" t="n">
        <v>1513.64</v>
      </c>
      <c r="C339" t="n">
        <v>1541.61</v>
      </c>
      <c r="D339" t="n">
        <v>1449.56</v>
      </c>
      <c r="E339" s="5">
        <f>ABS(C339-B339)/B339</f>
        <v/>
      </c>
      <c r="F339" s="5">
        <f>ABS(D339-B339)/B339</f>
        <v/>
      </c>
      <c r="G339">
        <f>IF(E339&lt;F339,"model","official")</f>
        <v/>
      </c>
    </row>
    <row r="340">
      <c r="A340" s="2" t="n">
        <v>45631</v>
      </c>
      <c r="B340" t="n">
        <v>1539.79</v>
      </c>
      <c r="C340" t="n">
        <v>1542.08</v>
      </c>
      <c r="D340" t="n">
        <v>1421.14</v>
      </c>
      <c r="E340" s="5">
        <f>ABS(C340-B340)/B340</f>
        <v/>
      </c>
      <c r="F340" s="5">
        <f>ABS(D340-B340)/B340</f>
        <v/>
      </c>
      <c r="G340">
        <f>IF(E340&lt;F340,"model","official")</f>
        <v/>
      </c>
    </row>
    <row r="341">
      <c r="A341" s="2" t="n">
        <v>45632</v>
      </c>
      <c r="B341" t="n">
        <v>1488.98</v>
      </c>
      <c r="C341" t="n">
        <v>1516.9</v>
      </c>
      <c r="D341" t="n">
        <v>1405.04</v>
      </c>
      <c r="E341" s="5">
        <f>ABS(C341-B341)/B341</f>
        <v/>
      </c>
      <c r="F341" s="5">
        <f>ABS(D341-B341)/B341</f>
        <v/>
      </c>
      <c r="G341">
        <f>IF(E341&lt;F341,"model","official")</f>
        <v/>
      </c>
    </row>
    <row r="342">
      <c r="A342" s="2" t="n">
        <v>45633</v>
      </c>
      <c r="B342" t="n">
        <v>1291.14</v>
      </c>
      <c r="C342" t="n">
        <v>1319.01</v>
      </c>
      <c r="D342" t="n">
        <v>1210.74</v>
      </c>
      <c r="E342" s="5">
        <f>ABS(C342-B342)/B342</f>
        <v/>
      </c>
      <c r="F342" s="5">
        <f>ABS(D342-B342)/B342</f>
        <v/>
      </c>
      <c r="G342">
        <f>IF(E342&lt;F342,"model","official")</f>
        <v/>
      </c>
    </row>
    <row r="343">
      <c r="A343" s="2" t="n">
        <v>45634</v>
      </c>
      <c r="B343" t="n">
        <v>1231.95</v>
      </c>
      <c r="C343" t="n">
        <v>1249.44</v>
      </c>
      <c r="D343" t="n">
        <v>1117.69</v>
      </c>
      <c r="E343" s="5">
        <f>ABS(C343-B343)/B343</f>
        <v/>
      </c>
      <c r="F343" s="5">
        <f>ABS(D343-B343)/B343</f>
        <v/>
      </c>
      <c r="G343">
        <f>IF(E343&lt;F343,"model","official")</f>
        <v/>
      </c>
    </row>
    <row r="344">
      <c r="A344" s="2" t="n">
        <v>45635</v>
      </c>
      <c r="B344" t="n">
        <v>1540.95</v>
      </c>
      <c r="C344" t="n">
        <v>1528.28</v>
      </c>
      <c r="D344" t="n">
        <v>1403.75</v>
      </c>
      <c r="E344" s="5">
        <f>ABS(C344-B344)/B344</f>
        <v/>
      </c>
      <c r="F344" s="5">
        <f>ABS(D344-B344)/B344</f>
        <v/>
      </c>
      <c r="G344">
        <f>IF(E344&lt;F344,"model","official")</f>
        <v/>
      </c>
    </row>
    <row r="345">
      <c r="A345" s="2" t="n">
        <v>45636</v>
      </c>
      <c r="B345" t="n">
        <v>1517.9</v>
      </c>
      <c r="C345" t="n">
        <v>1558.14</v>
      </c>
      <c r="D345" t="n">
        <v>1444.65</v>
      </c>
      <c r="E345" s="5">
        <f>ABS(C345-B345)/B345</f>
        <v/>
      </c>
      <c r="F345" s="5">
        <f>ABS(D345-B345)/B345</f>
        <v/>
      </c>
      <c r="G345">
        <f>IF(E345&lt;F345,"model","official")</f>
        <v/>
      </c>
    </row>
    <row r="346">
      <c r="A346" s="2" t="n">
        <v>45637</v>
      </c>
      <c r="B346" t="n">
        <v>1496.4</v>
      </c>
      <c r="C346" t="n">
        <v>1570.7</v>
      </c>
      <c r="D346" t="n">
        <v>1443.19</v>
      </c>
      <c r="E346" s="5">
        <f>ABS(C346-B346)/B346</f>
        <v/>
      </c>
      <c r="F346" s="5">
        <f>ABS(D346-B346)/B346</f>
        <v/>
      </c>
      <c r="G346">
        <f>IF(E346&lt;F346,"model","official")</f>
        <v/>
      </c>
    </row>
    <row r="347">
      <c r="A347" s="2" t="n">
        <v>45638</v>
      </c>
      <c r="B347" t="n">
        <v>1461.86</v>
      </c>
      <c r="C347" t="n">
        <v>1575.23</v>
      </c>
      <c r="D347" t="n">
        <v>1410.77</v>
      </c>
      <c r="E347" s="5">
        <f>ABS(C347-B347)/B347</f>
        <v/>
      </c>
      <c r="F347" s="5">
        <f>ABS(D347-B347)/B347</f>
        <v/>
      </c>
      <c r="G347">
        <f>IF(E347&lt;F347,"model","official")</f>
        <v/>
      </c>
    </row>
    <row r="348">
      <c r="A348" s="2" t="n">
        <v>45639</v>
      </c>
      <c r="B348" t="n">
        <v>1453.67</v>
      </c>
      <c r="C348" t="n">
        <v>1543.84</v>
      </c>
      <c r="D348" t="n">
        <v>1389.21</v>
      </c>
      <c r="E348" s="5">
        <f>ABS(C348-B348)/B348</f>
        <v/>
      </c>
      <c r="F348" s="5">
        <f>ABS(D348-B348)/B348</f>
        <v/>
      </c>
      <c r="G348">
        <f>IF(E348&lt;F348,"model","official")</f>
        <v/>
      </c>
    </row>
    <row r="349">
      <c r="A349" s="2" t="n">
        <v>45640</v>
      </c>
      <c r="B349" t="n">
        <v>1324.85</v>
      </c>
      <c r="C349" t="n">
        <v>1325.35</v>
      </c>
      <c r="D349" t="n">
        <v>1204.15</v>
      </c>
      <c r="E349" s="5">
        <f>ABS(C349-B349)/B349</f>
        <v/>
      </c>
      <c r="F349" s="5">
        <f>ABS(D349-B349)/B349</f>
        <v/>
      </c>
      <c r="G349">
        <f>IF(E349&lt;F349,"model","official")</f>
        <v/>
      </c>
    </row>
    <row r="350">
      <c r="A350" s="2" t="n">
        <v>45641</v>
      </c>
      <c r="B350" t="n">
        <v>1260.32</v>
      </c>
      <c r="C350" t="n">
        <v>1243.66</v>
      </c>
      <c r="D350" t="n">
        <v>1108.88</v>
      </c>
      <c r="E350" s="5">
        <f>ABS(C350-B350)/B350</f>
        <v/>
      </c>
      <c r="F350" s="5">
        <f>ABS(D350-B350)/B350</f>
        <v/>
      </c>
      <c r="G350">
        <f>IF(E350&lt;F350,"model","official")</f>
        <v/>
      </c>
    </row>
    <row r="351">
      <c r="A351" s="2" t="n">
        <v>45642</v>
      </c>
      <c r="B351" t="n">
        <v>1441.87</v>
      </c>
      <c r="C351" t="n">
        <v>1529</v>
      </c>
      <c r="D351" t="n">
        <v>1373.07</v>
      </c>
      <c r="E351" s="5">
        <f>ABS(C351-B351)/B351</f>
        <v/>
      </c>
      <c r="F351" s="5">
        <f>ABS(D351-B351)/B351</f>
        <v/>
      </c>
      <c r="G351">
        <f>IF(E351&lt;F351,"model","official")</f>
        <v/>
      </c>
    </row>
    <row r="352">
      <c r="A352" s="2" t="n">
        <v>45643</v>
      </c>
      <c r="B352" t="n">
        <v>1436.39</v>
      </c>
      <c r="C352" t="n">
        <v>1563.29</v>
      </c>
      <c r="D352" t="n">
        <v>1383.59</v>
      </c>
      <c r="E352" s="5">
        <f>ABS(C352-B352)/B352</f>
        <v/>
      </c>
      <c r="F352" s="5">
        <f>ABS(D352-B352)/B352</f>
        <v/>
      </c>
      <c r="G352">
        <f>IF(E352&lt;F352,"model","official")</f>
        <v/>
      </c>
    </row>
    <row r="353">
      <c r="A353" s="2" t="n">
        <v>45644</v>
      </c>
      <c r="B353" t="n">
        <v>1401.65</v>
      </c>
      <c r="C353" t="n">
        <v>1551.81</v>
      </c>
      <c r="D353" t="n">
        <v>1389.27</v>
      </c>
      <c r="E353" s="5">
        <f>ABS(C353-B353)/B353</f>
        <v/>
      </c>
      <c r="F353" s="5">
        <f>ABS(D353-B353)/B353</f>
        <v/>
      </c>
      <c r="G353">
        <f>IF(E353&lt;F353,"model","official")</f>
        <v/>
      </c>
    </row>
    <row r="354">
      <c r="A354" s="2" t="n">
        <v>45645</v>
      </c>
      <c r="B354" t="n">
        <v>1382.76</v>
      </c>
      <c r="C354" t="n">
        <v>1537.73</v>
      </c>
      <c r="D354" t="n">
        <v>1397.33</v>
      </c>
      <c r="E354" s="5">
        <f>ABS(C354-B354)/B354</f>
        <v/>
      </c>
      <c r="F354" s="5">
        <f>ABS(D354-B354)/B354</f>
        <v/>
      </c>
      <c r="G354">
        <f>IF(E354&lt;F354,"model","official")</f>
        <v/>
      </c>
    </row>
    <row r="355">
      <c r="A355" s="2" t="n">
        <v>45646</v>
      </c>
      <c r="B355" t="n">
        <v>1380.82</v>
      </c>
      <c r="C355" t="n">
        <v>1497.17</v>
      </c>
      <c r="D355" t="n">
        <v>1349.03</v>
      </c>
      <c r="E355" s="5">
        <f>ABS(C355-B355)/B355</f>
        <v/>
      </c>
      <c r="F355" s="5">
        <f>ABS(D355-B355)/B355</f>
        <v/>
      </c>
      <c r="G355">
        <f>IF(E355&lt;F355,"model","official")</f>
        <v/>
      </c>
    </row>
    <row r="356">
      <c r="A356" s="2" t="n">
        <v>45647</v>
      </c>
      <c r="B356" t="n">
        <v>1269.9</v>
      </c>
      <c r="C356" t="n">
        <v>1287.23</v>
      </c>
      <c r="D356" t="n">
        <v>1150.95</v>
      </c>
      <c r="E356" s="5">
        <f>ABS(C356-B356)/B356</f>
        <v/>
      </c>
      <c r="F356" s="5">
        <f>ABS(D356-B356)/B356</f>
        <v/>
      </c>
      <c r="G356">
        <f>IF(E356&lt;F356,"model","official")</f>
        <v/>
      </c>
    </row>
    <row r="357">
      <c r="A357" s="2" t="n">
        <v>45648</v>
      </c>
      <c r="B357" t="n">
        <v>1188.05</v>
      </c>
      <c r="C357" t="n">
        <v>1202.97</v>
      </c>
      <c r="D357" t="n">
        <v>1086.61</v>
      </c>
      <c r="E357" s="5">
        <f>ABS(C357-B357)/B357</f>
        <v/>
      </c>
      <c r="F357" s="5">
        <f>ABS(D357-B357)/B357</f>
        <v/>
      </c>
      <c r="G357">
        <f>IF(E357&lt;F357,"model","official")</f>
        <v/>
      </c>
    </row>
    <row r="358">
      <c r="A358" s="2" t="n">
        <v>45649</v>
      </c>
      <c r="B358" t="n">
        <v>1276.22</v>
      </c>
      <c r="C358" t="n">
        <v>1460.75</v>
      </c>
      <c r="D358" t="n">
        <v>1330.18</v>
      </c>
      <c r="E358" s="5">
        <f>ABS(C358-B358)/B358</f>
        <v/>
      </c>
      <c r="F358" s="5">
        <f>ABS(D358-B358)/B358</f>
        <v/>
      </c>
      <c r="G358">
        <f>IF(E358&lt;F358,"model","official")</f>
        <v/>
      </c>
    </row>
    <row r="359">
      <c r="A359" s="2" t="n">
        <v>45650</v>
      </c>
      <c r="B359" t="n">
        <v>1130.94</v>
      </c>
      <c r="C359" t="n">
        <v>1324.2</v>
      </c>
      <c r="D359" t="n">
        <v>1240.61</v>
      </c>
      <c r="E359" s="5">
        <f>ABS(C359-B359)/B359</f>
        <v/>
      </c>
      <c r="F359" s="5">
        <f>ABS(D359-B359)/B359</f>
        <v/>
      </c>
      <c r="G359">
        <f>IF(E359&lt;F359,"model","official")</f>
        <v/>
      </c>
    </row>
    <row r="360">
      <c r="A360" s="2" t="n">
        <v>45651</v>
      </c>
      <c r="B360" t="n">
        <v>1087.92</v>
      </c>
      <c r="C360" t="n">
        <v>1089.9</v>
      </c>
      <c r="D360" t="n">
        <v>1090.85</v>
      </c>
      <c r="E360" s="5">
        <f>ABS(C360-B360)/B360</f>
        <v/>
      </c>
      <c r="F360" s="5">
        <f>ABS(D360-B360)/B360</f>
        <v/>
      </c>
      <c r="G360">
        <f>IF(E360&lt;F360,"model","official")</f>
        <v/>
      </c>
    </row>
    <row r="361">
      <c r="A361" s="2" t="n">
        <v>45652</v>
      </c>
      <c r="B361" t="n">
        <v>1072.83</v>
      </c>
      <c r="C361" t="n">
        <v>1054.62</v>
      </c>
      <c r="D361" t="n">
        <v>1052.67</v>
      </c>
      <c r="E361" s="5">
        <f>ABS(C361-B361)/B361</f>
        <v/>
      </c>
      <c r="F361" s="5">
        <f>ABS(D361-B361)/B361</f>
        <v/>
      </c>
      <c r="G361">
        <f>IF(E361&lt;F361,"model","official")</f>
        <v/>
      </c>
    </row>
    <row r="362">
      <c r="A362" s="2" t="n">
        <v>45653</v>
      </c>
      <c r="B362" t="n">
        <v>1155.15</v>
      </c>
      <c r="C362" t="n">
        <v>1079.05</v>
      </c>
      <c r="D362" t="n">
        <v>1170.45</v>
      </c>
      <c r="E362" s="5">
        <f>ABS(C362-B362)/B362</f>
        <v/>
      </c>
      <c r="F362" s="5">
        <f>ABS(D362-B362)/B362</f>
        <v/>
      </c>
      <c r="G362">
        <f>IF(E362&lt;F362,"model","official")</f>
        <v/>
      </c>
    </row>
    <row r="363">
      <c r="A363" s="2" t="n">
        <v>45654</v>
      </c>
      <c r="B363" t="n">
        <v>1150.66</v>
      </c>
      <c r="C363" t="n">
        <v>1003.37</v>
      </c>
      <c r="D363" t="n">
        <v>1156.13</v>
      </c>
      <c r="E363" s="5">
        <f>ABS(C363-B363)/B363</f>
        <v/>
      </c>
      <c r="F363" s="5">
        <f>ABS(D363-B363)/B363</f>
        <v/>
      </c>
      <c r="G363">
        <f>IF(E363&lt;F363,"model","official")</f>
        <v/>
      </c>
    </row>
    <row r="364">
      <c r="A364" s="2" t="n">
        <v>45655</v>
      </c>
      <c r="B364" t="n">
        <v>1179.16</v>
      </c>
      <c r="C364" t="n">
        <v>919.38</v>
      </c>
      <c r="D364" t="n">
        <v>1080.76</v>
      </c>
      <c r="E364" s="5">
        <f>ABS(C364-B364)/B364</f>
        <v/>
      </c>
      <c r="F364" s="5">
        <f>ABS(D364-B364)/B364</f>
        <v/>
      </c>
      <c r="G364">
        <f>IF(E364&lt;F364,"model","official")</f>
        <v/>
      </c>
    </row>
    <row r="365">
      <c r="A365" s="2" t="n">
        <v>45656</v>
      </c>
      <c r="B365" t="n">
        <v>1278.29</v>
      </c>
      <c r="C365" t="n">
        <v>1103.87</v>
      </c>
      <c r="D365" t="n">
        <v>1226.02</v>
      </c>
      <c r="E365" s="5">
        <f>ABS(C365-B365)/B365</f>
        <v/>
      </c>
      <c r="F365" s="5">
        <f>ABS(D365-B365)/B365</f>
        <v/>
      </c>
      <c r="G365">
        <f>IF(E365&lt;F365,"model","official")</f>
        <v/>
      </c>
    </row>
    <row r="366">
      <c r="A366" s="2" t="n">
        <v>45657</v>
      </c>
      <c r="B366" t="n">
        <v>1204.28</v>
      </c>
      <c r="C366" t="n">
        <v>1123.27</v>
      </c>
      <c r="D366" t="n">
        <v>1224.82</v>
      </c>
      <c r="E366" s="5">
        <f>ABS(C366-B366)/B366</f>
        <v/>
      </c>
      <c r="F366" s="5">
        <f>ABS(D366-B366)/B366</f>
        <v/>
      </c>
      <c r="G366">
        <f>IF(E366&lt;F366,"model","official")</f>
        <v/>
      </c>
    </row>
    <row r="367">
      <c r="A367" s="2" t="n">
        <v>45658</v>
      </c>
      <c r="B367" t="n">
        <v>1180.49</v>
      </c>
      <c r="C367" t="n">
        <v>920.1799999999999</v>
      </c>
      <c r="D367" t="n">
        <v>1150.39</v>
      </c>
      <c r="E367" s="5">
        <f>ABS(C367-B367)/B367</f>
        <v/>
      </c>
      <c r="F367" s="5">
        <f>ABS(D367-B367)/B367</f>
        <v/>
      </c>
      <c r="G367">
        <f>IF(E367&lt;F367,"model","official")</f>
        <v/>
      </c>
    </row>
    <row r="368">
      <c r="A368" s="2" t="n">
        <v>45659</v>
      </c>
      <c r="B368" t="n">
        <v>1306.01</v>
      </c>
      <c r="C368" t="n">
        <v>1260.87</v>
      </c>
      <c r="D368" t="n">
        <v>1359.21</v>
      </c>
      <c r="E368" s="5">
        <f>ABS(C368-B368)/B368</f>
        <v/>
      </c>
      <c r="F368" s="5">
        <f>ABS(D368-B368)/B368</f>
        <v/>
      </c>
      <c r="G368">
        <f>IF(E368&lt;F368,"model","official")</f>
        <v/>
      </c>
    </row>
    <row r="369">
      <c r="A369" s="2" t="n">
        <v>45660</v>
      </c>
      <c r="B369" t="n">
        <v>1366.77</v>
      </c>
      <c r="C369" t="n">
        <v>1257.45</v>
      </c>
      <c r="D369" t="n">
        <v>1378.02</v>
      </c>
      <c r="E369" s="5">
        <f>ABS(C369-B369)/B369</f>
        <v/>
      </c>
      <c r="F369" s="5">
        <f>ABS(D369-B369)/B369</f>
        <v/>
      </c>
      <c r="G369">
        <f>IF(E369&lt;F369,"model","official")</f>
        <v/>
      </c>
    </row>
    <row r="370">
      <c r="A370" s="2" t="n">
        <v>45661</v>
      </c>
      <c r="B370" t="n">
        <v>1264.56</v>
      </c>
      <c r="C370" t="n">
        <v>1121.25</v>
      </c>
      <c r="D370" t="n">
        <v>1217.92</v>
      </c>
      <c r="E370" s="5">
        <f>ABS(C370-B370)/B370</f>
        <v/>
      </c>
      <c r="F370" s="5">
        <f>ABS(D370-B370)/B370</f>
        <v/>
      </c>
      <c r="G370">
        <f>IF(E370&lt;F370,"model","official")</f>
        <v/>
      </c>
    </row>
    <row r="371">
      <c r="A371" s="2" t="n">
        <v>45662</v>
      </c>
      <c r="B371" t="n">
        <v>1225.57</v>
      </c>
      <c r="C371" t="n">
        <v>1085.32</v>
      </c>
      <c r="D371" t="n">
        <v>1142.37</v>
      </c>
      <c r="E371" s="5">
        <f>ABS(C371-B371)/B371</f>
        <v/>
      </c>
      <c r="F371" s="5">
        <f>ABS(D371-B371)/B371</f>
        <v/>
      </c>
      <c r="G371">
        <f>IF(E371&lt;F371,"model","official")</f>
        <v/>
      </c>
    </row>
    <row r="372">
      <c r="A372" s="2" t="n">
        <v>45663</v>
      </c>
      <c r="B372" t="n">
        <v>1346.59</v>
      </c>
      <c r="C372" t="n">
        <v>1457.34</v>
      </c>
      <c r="D372" t="n">
        <v>1272.65</v>
      </c>
      <c r="E372" s="5">
        <f>ABS(C372-B372)/B372</f>
        <v/>
      </c>
      <c r="F372" s="5">
        <f>ABS(D372-B372)/B372</f>
        <v/>
      </c>
      <c r="G372">
        <f>IF(E372&lt;F372,"model","official")</f>
        <v/>
      </c>
    </row>
    <row r="373">
      <c r="A373" s="2" t="n">
        <v>45664</v>
      </c>
      <c r="B373" t="n">
        <v>1479.23</v>
      </c>
      <c r="C373" t="n">
        <v>1365.37</v>
      </c>
      <c r="D373" t="n">
        <v>1389.44</v>
      </c>
      <c r="E373" s="5">
        <f>ABS(C373-B373)/B373</f>
        <v/>
      </c>
      <c r="F373" s="5">
        <f>ABS(D373-B373)/B373</f>
        <v/>
      </c>
      <c r="G373">
        <f>IF(E373&lt;F373,"model","official")</f>
        <v/>
      </c>
    </row>
    <row r="374">
      <c r="A374" s="2" t="n">
        <v>45665</v>
      </c>
      <c r="B374" t="n">
        <v>1538.77</v>
      </c>
      <c r="C374" t="n">
        <v>1378.33</v>
      </c>
      <c r="D374" t="n">
        <v>1408.31</v>
      </c>
      <c r="E374" s="5">
        <f>ABS(C374-B374)/B374</f>
        <v/>
      </c>
      <c r="F374" s="5">
        <f>ABS(D374-B374)/B374</f>
        <v/>
      </c>
      <c r="G374">
        <f>IF(E374&lt;F374,"model","official")</f>
        <v/>
      </c>
    </row>
    <row r="375">
      <c r="A375" s="2" t="n">
        <v>45666</v>
      </c>
      <c r="B375" t="n">
        <v>1497.38</v>
      </c>
      <c r="C375" t="n">
        <v>1425.58</v>
      </c>
      <c r="D375" t="n">
        <v>1386.91</v>
      </c>
      <c r="E375" s="5">
        <f>ABS(C375-B375)/B375</f>
        <v/>
      </c>
      <c r="F375" s="5">
        <f>ABS(D375-B375)/B375</f>
        <v/>
      </c>
      <c r="G375">
        <f>IF(E375&lt;F375,"model","official")</f>
        <v/>
      </c>
    </row>
    <row r="376">
      <c r="A376" s="2" t="n">
        <v>45667</v>
      </c>
      <c r="B376" t="n">
        <v>1535.8</v>
      </c>
      <c r="C376" t="n">
        <v>1456.39</v>
      </c>
      <c r="D376" t="n">
        <v>1439.26</v>
      </c>
      <c r="E376" s="5">
        <f>ABS(C376-B376)/B376</f>
        <v/>
      </c>
      <c r="F376" s="5">
        <f>ABS(D376-B376)/B376</f>
        <v/>
      </c>
      <c r="G376">
        <f>IF(E376&lt;F376,"model","official")</f>
        <v/>
      </c>
    </row>
    <row r="377">
      <c r="A377" s="2" t="n">
        <v>45668</v>
      </c>
      <c r="B377" t="n">
        <v>1344.36</v>
      </c>
      <c r="C377" t="n">
        <v>1283.81</v>
      </c>
      <c r="D377" t="n">
        <v>1251.11</v>
      </c>
      <c r="E377" s="5">
        <f>ABS(C377-B377)/B377</f>
        <v/>
      </c>
      <c r="F377" s="5">
        <f>ABS(D377-B377)/B377</f>
        <v/>
      </c>
      <c r="G377">
        <f>IF(E377&lt;F377,"model","official")</f>
        <v/>
      </c>
    </row>
    <row r="378">
      <c r="A378" s="2" t="n">
        <v>45669</v>
      </c>
      <c r="B378" t="n">
        <v>1268.63</v>
      </c>
      <c r="C378" t="n">
        <v>1230.26</v>
      </c>
      <c r="D378" t="n">
        <v>1175.64</v>
      </c>
      <c r="E378" s="5">
        <f>ABS(C378-B378)/B378</f>
        <v/>
      </c>
      <c r="F378" s="5">
        <f>ABS(D378-B378)/B378</f>
        <v/>
      </c>
      <c r="G378">
        <f>IF(E378&lt;F378,"model","official")</f>
        <v/>
      </c>
    </row>
    <row r="379">
      <c r="A379" s="2" t="n">
        <v>45670</v>
      </c>
      <c r="B379" t="n">
        <v>1543.4</v>
      </c>
      <c r="C379" t="n">
        <v>1511.03</v>
      </c>
      <c r="D379" t="n">
        <v>1468.16</v>
      </c>
      <c r="E379" s="5">
        <f>ABS(C379-B379)/B379</f>
        <v/>
      </c>
      <c r="F379" s="5">
        <f>ABS(D379-B379)/B379</f>
        <v/>
      </c>
      <c r="G379">
        <f>IF(E379&lt;F379,"model","official")</f>
        <v/>
      </c>
    </row>
    <row r="380">
      <c r="A380" s="2" t="n">
        <v>45671</v>
      </c>
      <c r="B380" t="n">
        <v>1617.48</v>
      </c>
      <c r="C380" t="n">
        <v>1550.78</v>
      </c>
      <c r="D380" t="n">
        <v>1499.64</v>
      </c>
      <c r="E380" s="5">
        <f>ABS(C380-B380)/B380</f>
        <v/>
      </c>
      <c r="F380" s="5">
        <f>ABS(D380-B380)/B380</f>
        <v/>
      </c>
      <c r="G380">
        <f>IF(E380&lt;F380,"model","official")</f>
        <v/>
      </c>
    </row>
    <row r="381">
      <c r="A381" s="2" t="n">
        <v>45672</v>
      </c>
      <c r="B381" t="n">
        <v>1525.82</v>
      </c>
      <c r="C381" t="n">
        <v>1587.34</v>
      </c>
      <c r="D381" t="n">
        <v>1513.74</v>
      </c>
      <c r="E381" s="5">
        <f>ABS(C381-B381)/B381</f>
        <v/>
      </c>
      <c r="F381" s="5">
        <f>ABS(D381-B381)/B381</f>
        <v/>
      </c>
      <c r="G381">
        <f>IF(E381&lt;F381,"model","official")</f>
        <v/>
      </c>
    </row>
    <row r="382">
      <c r="A382" s="2" t="n">
        <v>45673</v>
      </c>
      <c r="B382" t="n">
        <v>1545.1</v>
      </c>
      <c r="C382" t="n">
        <v>1605.05</v>
      </c>
      <c r="D382" t="n">
        <v>1465.78</v>
      </c>
      <c r="E382" s="5">
        <f>ABS(C382-B382)/B382</f>
        <v/>
      </c>
      <c r="F382" s="5">
        <f>ABS(D382-B382)/B382</f>
        <v/>
      </c>
      <c r="G382">
        <f>IF(E382&lt;F382,"model","official")</f>
        <v/>
      </c>
    </row>
    <row r="383">
      <c r="A383" s="2" t="n">
        <v>45674</v>
      </c>
      <c r="B383" t="n">
        <v>1544.15</v>
      </c>
      <c r="C383" t="n">
        <v>1577.25</v>
      </c>
      <c r="D383" t="n">
        <v>1479.93</v>
      </c>
      <c r="E383" s="5">
        <f>ABS(C383-B383)/B383</f>
        <v/>
      </c>
      <c r="F383" s="5">
        <f>ABS(D383-B383)/B383</f>
        <v/>
      </c>
      <c r="G383">
        <f>IF(E383&lt;F383,"model","official")</f>
        <v/>
      </c>
    </row>
    <row r="384">
      <c r="A384" s="2" t="n">
        <v>45675</v>
      </c>
      <c r="B384" t="n">
        <v>1324.96</v>
      </c>
      <c r="C384" t="n">
        <v>1366.31</v>
      </c>
      <c r="D384" t="n">
        <v>1277.62</v>
      </c>
      <c r="E384" s="5">
        <f>ABS(C384-B384)/B384</f>
        <v/>
      </c>
      <c r="F384" s="5">
        <f>ABS(D384-B384)/B384</f>
        <v/>
      </c>
      <c r="G384">
        <f>IF(E384&lt;F384,"model","official")</f>
        <v/>
      </c>
    </row>
    <row r="385">
      <c r="A385" s="2" t="n">
        <v>45676</v>
      </c>
      <c r="B385" t="n">
        <v>1252.94</v>
      </c>
      <c r="C385" t="n">
        <v>1287.06</v>
      </c>
      <c r="D385" t="n">
        <v>1195.54</v>
      </c>
      <c r="E385" s="5">
        <f>ABS(C385-B385)/B385</f>
        <v/>
      </c>
      <c r="F385" s="5">
        <f>ABS(D385-B385)/B385</f>
        <v/>
      </c>
      <c r="G385">
        <f>IF(E385&lt;F385,"model","official")</f>
        <v/>
      </c>
    </row>
    <row r="386">
      <c r="A386" s="2" t="n">
        <v>45677</v>
      </c>
      <c r="B386" t="n">
        <v>1518.64</v>
      </c>
      <c r="C386" t="n">
        <v>1573.4</v>
      </c>
      <c r="D386" t="n">
        <v>1488.46</v>
      </c>
      <c r="E386" s="5">
        <f>ABS(C386-B386)/B386</f>
        <v/>
      </c>
      <c r="F386" s="5">
        <f>ABS(D386-B386)/B386</f>
        <v/>
      </c>
      <c r="G386">
        <f>IF(E386&lt;F386,"model","official")</f>
        <v/>
      </c>
    </row>
    <row r="387">
      <c r="A387" s="2" t="n">
        <v>45678</v>
      </c>
      <c r="B387" t="n">
        <v>1531.66</v>
      </c>
      <c r="C387" t="n">
        <v>1601.86</v>
      </c>
      <c r="D387" t="n">
        <v>1512.54</v>
      </c>
      <c r="E387" s="5">
        <f>ABS(C387-B387)/B387</f>
        <v/>
      </c>
      <c r="F387" s="5">
        <f>ABS(D387-B387)/B387</f>
        <v/>
      </c>
      <c r="G387">
        <f>IF(E387&lt;F387,"model","official")</f>
        <v/>
      </c>
    </row>
    <row r="388">
      <c r="A388" s="2" t="n">
        <v>45679</v>
      </c>
      <c r="B388" t="n">
        <v>1508.92</v>
      </c>
      <c r="C388" t="n">
        <v>1597.95</v>
      </c>
      <c r="D388" t="n">
        <v>1518.41</v>
      </c>
      <c r="E388" s="5">
        <f>ABS(C388-B388)/B388</f>
        <v/>
      </c>
      <c r="F388" s="5">
        <f>ABS(D388-B388)/B388</f>
        <v/>
      </c>
      <c r="G388">
        <f>IF(E388&lt;F388,"model","official")</f>
        <v/>
      </c>
    </row>
    <row r="389">
      <c r="A389" s="2" t="n">
        <v>45680</v>
      </c>
      <c r="B389" t="n">
        <v>1526.15</v>
      </c>
      <c r="C389" t="n">
        <v>1585.36</v>
      </c>
      <c r="D389" t="n">
        <v>1446.24</v>
      </c>
      <c r="E389" s="5">
        <f>ABS(C389-B389)/B389</f>
        <v/>
      </c>
      <c r="F389" s="5">
        <f>ABS(D389-B389)/B389</f>
        <v/>
      </c>
      <c r="G389">
        <f>IF(E389&lt;F389,"model","official")</f>
        <v/>
      </c>
    </row>
    <row r="390">
      <c r="A390" s="2" t="n">
        <v>45681</v>
      </c>
      <c r="B390" t="n">
        <v>1486.93</v>
      </c>
      <c r="C390" t="n">
        <v>1555.05</v>
      </c>
      <c r="D390" t="n">
        <v>1453.01</v>
      </c>
      <c r="E390" s="5">
        <f>ABS(C390-B390)/B390</f>
        <v/>
      </c>
      <c r="F390" s="5">
        <f>ABS(D390-B390)/B390</f>
        <v/>
      </c>
      <c r="G390">
        <f>IF(E390&lt;F390,"model","official")</f>
        <v/>
      </c>
    </row>
    <row r="391">
      <c r="A391" s="2" t="n">
        <v>45682</v>
      </c>
      <c r="B391" t="n">
        <v>1292.43</v>
      </c>
      <c r="C391" t="n">
        <v>1337.27</v>
      </c>
      <c r="D391" t="n">
        <v>1241.54</v>
      </c>
      <c r="E391" s="5">
        <f>ABS(C391-B391)/B391</f>
        <v/>
      </c>
      <c r="F391" s="5">
        <f>ABS(D391-B391)/B391</f>
        <v/>
      </c>
      <c r="G391">
        <f>IF(E391&lt;F391,"model","official")</f>
        <v/>
      </c>
    </row>
    <row r="392">
      <c r="A392" s="2" t="n">
        <v>45683</v>
      </c>
      <c r="B392" t="n">
        <v>1193.86</v>
      </c>
      <c r="C392" t="n">
        <v>1251.92</v>
      </c>
      <c r="D392" t="n">
        <v>1159.3</v>
      </c>
      <c r="E392" s="5">
        <f>ABS(C392-B392)/B392</f>
        <v/>
      </c>
      <c r="F392" s="5">
        <f>ABS(D392-B392)/B392</f>
        <v/>
      </c>
      <c r="G392">
        <f>IF(E392&lt;F392,"model","official")</f>
        <v/>
      </c>
    </row>
    <row r="393">
      <c r="A393" s="2" t="n">
        <v>45684</v>
      </c>
      <c r="B393" t="n">
        <v>1484.31</v>
      </c>
      <c r="C393" t="n">
        <v>1527.94</v>
      </c>
      <c r="D393" t="n">
        <v>1437.78</v>
      </c>
      <c r="E393" s="5">
        <f>ABS(C393-B393)/B393</f>
        <v/>
      </c>
      <c r="F393" s="5">
        <f>ABS(D393-B393)/B393</f>
        <v/>
      </c>
      <c r="G393">
        <f>IF(E393&lt;F393,"model","official")</f>
        <v/>
      </c>
    </row>
    <row r="394">
      <c r="A394" s="2" t="n">
        <v>45685</v>
      </c>
      <c r="B394" t="n">
        <v>1483.77</v>
      </c>
      <c r="C394" t="n">
        <v>1547.3</v>
      </c>
      <c r="D394" t="n">
        <v>1465.03</v>
      </c>
      <c r="E394" s="5">
        <f>ABS(C394-B394)/B394</f>
        <v/>
      </c>
      <c r="F394" s="5">
        <f>ABS(D394-B394)/B394</f>
        <v/>
      </c>
      <c r="G394">
        <f>IF(E394&lt;F394,"model","official")</f>
        <v/>
      </c>
    </row>
    <row r="395">
      <c r="A395" s="2" t="n">
        <v>45686</v>
      </c>
      <c r="B395" t="n">
        <v>1491.61</v>
      </c>
      <c r="C395" t="n">
        <v>1545.27</v>
      </c>
      <c r="D395" t="n">
        <v>1468.96</v>
      </c>
      <c r="E395" s="5">
        <f>ABS(C395-B395)/B395</f>
        <v/>
      </c>
      <c r="F395" s="5">
        <f>ABS(D395-B395)/B395</f>
        <v/>
      </c>
      <c r="G395">
        <f>IF(E395&lt;F395,"model","official")</f>
        <v/>
      </c>
    </row>
    <row r="396">
      <c r="A396" s="2" t="n">
        <v>45687</v>
      </c>
      <c r="B396" t="n">
        <v>1486.55</v>
      </c>
      <c r="C396" t="n">
        <v>1536.62</v>
      </c>
      <c r="D396" t="n">
        <v>1460.45</v>
      </c>
      <c r="E396" s="5">
        <f>ABS(C396-B396)/B396</f>
        <v/>
      </c>
      <c r="F396" s="5">
        <f>ABS(D396-B396)/B396</f>
        <v/>
      </c>
      <c r="G396">
        <f>IF(E396&lt;F396,"model","official")</f>
        <v/>
      </c>
    </row>
    <row r="397">
      <c r="A397" s="2" t="n">
        <v>45688</v>
      </c>
      <c r="B397" t="n">
        <v>1457.85</v>
      </c>
      <c r="C397" t="n">
        <v>1504.89</v>
      </c>
      <c r="D397" t="n">
        <v>1451.38</v>
      </c>
      <c r="E397" s="5">
        <f>ABS(C397-B397)/B397</f>
        <v/>
      </c>
      <c r="F397" s="5">
        <f>ABS(D397-B397)/B397</f>
        <v/>
      </c>
      <c r="G397">
        <f>IF(E397&lt;F397,"model","official")</f>
        <v/>
      </c>
    </row>
    <row r="398">
      <c r="A398" s="2" t="n">
        <v>45689</v>
      </c>
      <c r="B398" t="n">
        <v>1258.5</v>
      </c>
      <c r="C398" t="n">
        <v>1292.11</v>
      </c>
      <c r="D398" t="n">
        <v>1255.47</v>
      </c>
      <c r="E398" s="5">
        <f>ABS(C398-B398)/B398</f>
        <v/>
      </c>
      <c r="F398" s="5">
        <f>ABS(D398-B398)/B398</f>
        <v/>
      </c>
      <c r="G398">
        <f>IF(E398&lt;F398,"model","official")</f>
        <v/>
      </c>
    </row>
    <row r="399">
      <c r="A399" s="2" t="n">
        <v>45690</v>
      </c>
      <c r="B399" t="n">
        <v>1215.84</v>
      </c>
      <c r="C399" t="n">
        <v>1211.29</v>
      </c>
      <c r="D399" t="n">
        <v>1148.19</v>
      </c>
      <c r="E399" s="5">
        <f>ABS(C399-B399)/B399</f>
        <v/>
      </c>
      <c r="F399" s="5">
        <f>ABS(D399-B399)/B399</f>
        <v/>
      </c>
      <c r="G399">
        <f>IF(E399&lt;F399,"model","official")</f>
        <v/>
      </c>
    </row>
    <row r="400">
      <c r="A400" s="2" t="n">
        <v>45691</v>
      </c>
      <c r="B400" t="n">
        <v>1477.66</v>
      </c>
      <c r="C400" t="n">
        <v>1479.14</v>
      </c>
      <c r="D400" t="n">
        <v>1434.2</v>
      </c>
      <c r="E400" s="5">
        <f>ABS(C400-B400)/B400</f>
        <v/>
      </c>
      <c r="F400" s="5">
        <f>ABS(D400-B400)/B400</f>
        <v/>
      </c>
      <c r="G400">
        <f>IF(E400&lt;F400,"model","official")</f>
        <v/>
      </c>
    </row>
    <row r="401">
      <c r="A401" s="2" t="n">
        <v>45692</v>
      </c>
      <c r="B401" t="n">
        <v>1536.94</v>
      </c>
      <c r="C401" t="n">
        <v>1508.67</v>
      </c>
      <c r="D401" t="n">
        <v>1459.99</v>
      </c>
      <c r="E401" s="5">
        <f>ABS(C401-B401)/B401</f>
        <v/>
      </c>
      <c r="F401" s="5">
        <f>ABS(D401-B401)/B401</f>
        <v/>
      </c>
      <c r="G401">
        <f>IF(E401&lt;F401,"model","official")</f>
        <v/>
      </c>
    </row>
    <row r="402">
      <c r="A402" s="2" t="n">
        <v>45693</v>
      </c>
      <c r="B402" t="n">
        <v>1555.8</v>
      </c>
      <c r="C402" t="n">
        <v>1512</v>
      </c>
      <c r="D402" t="n">
        <v>1495.88</v>
      </c>
      <c r="E402" s="5">
        <f>ABS(C402-B402)/B402</f>
        <v/>
      </c>
      <c r="F402" s="5">
        <f>ABS(D402-B402)/B402</f>
        <v/>
      </c>
      <c r="G402">
        <f>IF(E402&lt;F402,"model","official")</f>
        <v/>
      </c>
    </row>
    <row r="403">
      <c r="A403" s="2" t="n">
        <v>45694</v>
      </c>
      <c r="B403" t="n">
        <v>1512.8</v>
      </c>
      <c r="C403" t="n">
        <v>1516.85</v>
      </c>
      <c r="D403" t="n">
        <v>1494.01</v>
      </c>
      <c r="E403" s="5">
        <f>ABS(C403-B403)/B403</f>
        <v/>
      </c>
      <c r="F403" s="5">
        <f>ABS(D403-B403)/B403</f>
        <v/>
      </c>
      <c r="G403">
        <f>IF(E403&lt;F403,"model","official")</f>
        <v/>
      </c>
    </row>
    <row r="404">
      <c r="A404" s="2" t="n">
        <v>45695</v>
      </c>
      <c r="B404" t="n">
        <v>1528.3</v>
      </c>
      <c r="C404" t="n">
        <v>1497.49</v>
      </c>
      <c r="D404" t="n">
        <v>1500.23</v>
      </c>
      <c r="E404" s="5">
        <f>ABS(C404-B404)/B404</f>
        <v/>
      </c>
      <c r="F404" s="5">
        <f>ABS(D404-B404)/B404</f>
        <v/>
      </c>
      <c r="G404">
        <f>IF(E404&lt;F404,"model","official")</f>
        <v/>
      </c>
    </row>
    <row r="405">
      <c r="A405" s="2" t="n">
        <v>45696</v>
      </c>
      <c r="B405" t="n">
        <v>1319.65</v>
      </c>
      <c r="C405" t="n">
        <v>1293.31</v>
      </c>
      <c r="D405" t="n">
        <v>1255.88</v>
      </c>
      <c r="E405" s="5">
        <f>ABS(C405-B405)/B405</f>
        <v/>
      </c>
      <c r="F405" s="5">
        <f>ABS(D405-B405)/B405</f>
        <v/>
      </c>
      <c r="G405">
        <f>IF(E405&lt;F405,"model","official")</f>
        <v/>
      </c>
    </row>
    <row r="406">
      <c r="A406" s="2" t="n">
        <v>45697</v>
      </c>
      <c r="B406" t="n">
        <v>1245.01</v>
      </c>
      <c r="C406" t="n">
        <v>1226.61</v>
      </c>
      <c r="D406" t="n">
        <v>1174.54</v>
      </c>
      <c r="E406" s="5">
        <f>ABS(C406-B406)/B406</f>
        <v/>
      </c>
      <c r="F406" s="5">
        <f>ABS(D406-B406)/B406</f>
        <v/>
      </c>
      <c r="G406">
        <f>IF(E406&lt;F406,"model","official")</f>
        <v/>
      </c>
    </row>
    <row r="407">
      <c r="A407" s="2" t="n">
        <v>45698</v>
      </c>
      <c r="B407" t="n">
        <v>1539.66</v>
      </c>
      <c r="C407" t="n">
        <v>1509.59</v>
      </c>
      <c r="D407" t="n">
        <v>1467.75</v>
      </c>
      <c r="E407" s="5">
        <f>ABS(C407-B407)/B407</f>
        <v/>
      </c>
      <c r="F407" s="5">
        <f>ABS(D407-B407)/B407</f>
        <v/>
      </c>
      <c r="G407">
        <f>IF(E407&lt;F407,"model","official")</f>
        <v/>
      </c>
    </row>
    <row r="408">
      <c r="A408" s="2" t="n">
        <v>45699</v>
      </c>
      <c r="B408" t="n">
        <v>1580.24</v>
      </c>
      <c r="C408" t="n">
        <v>1543.69</v>
      </c>
      <c r="D408" t="n">
        <v>1482.28</v>
      </c>
      <c r="E408" s="5">
        <f>ABS(C408-B408)/B408</f>
        <v/>
      </c>
      <c r="F408" s="5">
        <f>ABS(D408-B408)/B408</f>
        <v/>
      </c>
      <c r="G408">
        <f>IF(E408&lt;F408,"model","official")</f>
        <v/>
      </c>
    </row>
    <row r="409">
      <c r="A409" s="2" t="n">
        <v>45700</v>
      </c>
      <c r="B409" t="n">
        <v>1560.45</v>
      </c>
      <c r="C409" t="n">
        <v>1557.54</v>
      </c>
      <c r="D409" t="n">
        <v>1475.67</v>
      </c>
      <c r="E409" s="5">
        <f>ABS(C409-B409)/B409</f>
        <v/>
      </c>
      <c r="F409" s="5">
        <f>ABS(D409-B409)/B409</f>
        <v/>
      </c>
      <c r="G409">
        <f>IF(E409&lt;F409,"model","official")</f>
        <v/>
      </c>
    </row>
    <row r="410">
      <c r="A410" s="2" t="n">
        <v>45701</v>
      </c>
      <c r="B410" t="n">
        <v>1564.52</v>
      </c>
      <c r="C410" t="n">
        <v>1558.87</v>
      </c>
      <c r="D410" t="n">
        <v>1471.2</v>
      </c>
      <c r="E410" s="5">
        <f>ABS(C410-B410)/B410</f>
        <v/>
      </c>
      <c r="F410" s="5">
        <f>ABS(D410-B410)/B410</f>
        <v/>
      </c>
      <c r="G410">
        <f>IF(E410&lt;F410,"model","official")</f>
        <v/>
      </c>
    </row>
    <row r="411">
      <c r="A411" s="2" t="n">
        <v>45702</v>
      </c>
      <c r="B411" t="n">
        <v>1524.58</v>
      </c>
      <c r="C411" t="n">
        <v>1532.52</v>
      </c>
      <c r="D411" t="n">
        <v>1462.5</v>
      </c>
      <c r="E411" s="5">
        <f>ABS(C411-B411)/B411</f>
        <v/>
      </c>
      <c r="F411" s="5">
        <f>ABS(D411-B411)/B411</f>
        <v/>
      </c>
      <c r="G411">
        <f>IF(E411&lt;F411,"model","official")</f>
        <v/>
      </c>
    </row>
    <row r="412">
      <c r="A412" s="2" t="n">
        <v>45703</v>
      </c>
      <c r="B412" t="n">
        <v>1307.38</v>
      </c>
      <c r="C412" t="n">
        <v>1326.6</v>
      </c>
      <c r="D412" t="n">
        <v>1268.29</v>
      </c>
      <c r="E412" s="5">
        <f>ABS(C412-B412)/B412</f>
        <v/>
      </c>
      <c r="F412" s="5">
        <f>ABS(D412-B412)/B412</f>
        <v/>
      </c>
      <c r="G412">
        <f>IF(E412&lt;F412,"model","official")</f>
        <v/>
      </c>
    </row>
    <row r="413">
      <c r="A413" s="2" t="n">
        <v>45704</v>
      </c>
      <c r="B413" t="n">
        <v>1256.91</v>
      </c>
      <c r="C413" t="n">
        <v>1247.94</v>
      </c>
      <c r="D413" t="n">
        <v>1199.64</v>
      </c>
      <c r="E413" s="5">
        <f>ABS(C413-B413)/B413</f>
        <v/>
      </c>
      <c r="F413" s="5">
        <f>ABS(D413-B413)/B413</f>
        <v/>
      </c>
      <c r="G413">
        <f>IF(E413&lt;F413,"model","official")</f>
        <v/>
      </c>
    </row>
    <row r="414">
      <c r="A414" s="2" t="n">
        <v>45705</v>
      </c>
      <c r="B414" t="n">
        <v>1493.54</v>
      </c>
      <c r="C414" t="n">
        <v>1526.71</v>
      </c>
      <c r="D414" t="n">
        <v>1492.29</v>
      </c>
      <c r="E414" s="5">
        <f>ABS(C414-B414)/B414</f>
        <v/>
      </c>
      <c r="F414" s="5">
        <f>ABS(D414-B414)/B414</f>
        <v/>
      </c>
      <c r="G414">
        <f>IF(E414&lt;F414,"model","official")</f>
        <v/>
      </c>
    </row>
    <row r="415">
      <c r="A415" s="2" t="n">
        <v>45706</v>
      </c>
      <c r="B415" t="n">
        <v>1527.67</v>
      </c>
      <c r="C415" t="n">
        <v>1557.68</v>
      </c>
      <c r="D415" t="n">
        <v>1531.59</v>
      </c>
      <c r="E415" s="5">
        <f>ABS(C415-B415)/B415</f>
        <v/>
      </c>
      <c r="F415" s="5">
        <f>ABS(D415-B415)/B415</f>
        <v/>
      </c>
      <c r="G415">
        <f>IF(E415&lt;F415,"model","official")</f>
        <v/>
      </c>
    </row>
    <row r="416">
      <c r="A416" s="2" t="n">
        <v>45707</v>
      </c>
      <c r="B416" t="n">
        <v>1533.21</v>
      </c>
      <c r="C416" t="n">
        <v>1554.14</v>
      </c>
      <c r="D416" t="n">
        <v>1538.77</v>
      </c>
      <c r="E416" s="5">
        <f>ABS(C416-B416)/B416</f>
        <v/>
      </c>
      <c r="F416" s="5">
        <f>ABS(D416-B416)/B416</f>
        <v/>
      </c>
      <c r="G416">
        <f>IF(E416&lt;F416,"model","official")</f>
        <v/>
      </c>
    </row>
    <row r="417">
      <c r="A417" s="2" t="n">
        <v>45708</v>
      </c>
      <c r="B417" t="n">
        <v>1543.62</v>
      </c>
      <c r="C417" t="n">
        <v>1544.21</v>
      </c>
      <c r="D417" t="n">
        <v>1466.88</v>
      </c>
      <c r="E417" s="5">
        <f>ABS(C417-B417)/B417</f>
        <v/>
      </c>
      <c r="F417" s="5">
        <f>ABS(D417-B417)/B417</f>
        <v/>
      </c>
      <c r="G417">
        <f>IF(E417&lt;F417,"model","official")</f>
        <v/>
      </c>
    </row>
    <row r="418">
      <c r="A418" s="2" t="n">
        <v>45709</v>
      </c>
      <c r="B418" t="n">
        <v>1436.87</v>
      </c>
      <c r="C418" t="n">
        <v>1511</v>
      </c>
      <c r="D418" t="n">
        <v>1431.15</v>
      </c>
      <c r="E418" s="5">
        <f>ABS(C418-B418)/B418</f>
        <v/>
      </c>
      <c r="F418" s="5">
        <f>ABS(D418-B418)/B418</f>
        <v/>
      </c>
      <c r="G418">
        <f>IF(E418&lt;F418,"model","official")</f>
        <v/>
      </c>
    </row>
    <row r="419">
      <c r="A419" s="2" t="n">
        <v>45710</v>
      </c>
      <c r="B419" t="n">
        <v>1266.83</v>
      </c>
      <c r="C419" t="n">
        <v>1298.89</v>
      </c>
      <c r="D419" t="n">
        <v>1229.38</v>
      </c>
      <c r="E419" s="5">
        <f>ABS(C419-B419)/B419</f>
        <v/>
      </c>
      <c r="F419" s="5">
        <f>ABS(D419-B419)/B419</f>
        <v/>
      </c>
      <c r="G419">
        <f>IF(E419&lt;F419,"model","official")</f>
        <v/>
      </c>
    </row>
    <row r="420">
      <c r="A420" s="2" t="n">
        <v>45711</v>
      </c>
      <c r="B420" t="n">
        <v>1141.1</v>
      </c>
      <c r="C420" t="n">
        <v>1213.57</v>
      </c>
      <c r="D420" t="n">
        <v>1150.88</v>
      </c>
      <c r="E420" s="5">
        <f>ABS(C420-B420)/B420</f>
        <v/>
      </c>
      <c r="F420" s="5">
        <f>ABS(D420-B420)/B420</f>
        <v/>
      </c>
      <c r="G420">
        <f>IF(E420&lt;F420,"model","official")</f>
        <v/>
      </c>
    </row>
    <row r="421">
      <c r="A421" s="2" t="n">
        <v>45712</v>
      </c>
      <c r="B421" t="n">
        <v>1441.01</v>
      </c>
      <c r="C421" t="n">
        <v>1477.88</v>
      </c>
      <c r="D421" t="n">
        <v>1419.5</v>
      </c>
      <c r="E421" s="5">
        <f>ABS(C421-B421)/B421</f>
        <v/>
      </c>
      <c r="F421" s="5">
        <f>ABS(D421-B421)/B421</f>
        <v/>
      </c>
      <c r="G421">
        <f>IF(E421&lt;F421,"model","official")</f>
        <v/>
      </c>
    </row>
    <row r="422">
      <c r="A422" s="2" t="n">
        <v>45713</v>
      </c>
      <c r="B422" t="n">
        <v>1404.48</v>
      </c>
      <c r="C422" t="n">
        <v>1490.38</v>
      </c>
      <c r="D422" t="n">
        <v>1437.25</v>
      </c>
      <c r="E422" s="5">
        <f>ABS(C422-B422)/B422</f>
        <v/>
      </c>
      <c r="F422" s="5">
        <f>ABS(D422-B422)/B422</f>
        <v/>
      </c>
      <c r="G422">
        <f>IF(E422&lt;F422,"model","official")</f>
        <v/>
      </c>
    </row>
    <row r="423">
      <c r="A423" s="2" t="n">
        <v>45714</v>
      </c>
      <c r="B423" t="n">
        <v>1434.22</v>
      </c>
      <c r="C423" t="n">
        <v>1487.94</v>
      </c>
      <c r="D423" t="n">
        <v>1451.95</v>
      </c>
      <c r="E423" s="5">
        <f>ABS(C423-B423)/B423</f>
        <v/>
      </c>
      <c r="F423" s="5">
        <f>ABS(D423-B423)/B423</f>
        <v/>
      </c>
      <c r="G423">
        <f>IF(E423&lt;F423,"model","official")</f>
        <v/>
      </c>
    </row>
    <row r="424">
      <c r="A424" s="2" t="n">
        <v>45715</v>
      </c>
      <c r="B424" t="n">
        <v>1438.26</v>
      </c>
      <c r="C424" t="n">
        <v>1468.43</v>
      </c>
      <c r="D424" t="n">
        <v>1436.53</v>
      </c>
      <c r="E424" s="5">
        <f>ABS(C424-B424)/B424</f>
        <v/>
      </c>
      <c r="F424" s="5">
        <f>ABS(D424-B424)/B424</f>
        <v/>
      </c>
      <c r="G424">
        <f>IF(E424&lt;F424,"model","official")</f>
        <v/>
      </c>
    </row>
    <row r="425">
      <c r="A425" s="2" t="n">
        <v>45716</v>
      </c>
      <c r="B425" t="n">
        <v>1422.23</v>
      </c>
      <c r="C425" t="n">
        <v>1422.97</v>
      </c>
      <c r="D425" t="n">
        <v>1424.06</v>
      </c>
      <c r="E425" s="5">
        <f>ABS(C425-B425)/B425</f>
        <v/>
      </c>
      <c r="F425" s="5">
        <f>ABS(D425-B425)/B425</f>
        <v/>
      </c>
      <c r="G425">
        <f>IF(E425&lt;F425,"model","official")</f>
        <v/>
      </c>
    </row>
    <row r="426">
      <c r="A426" s="2" t="n">
        <v>45717</v>
      </c>
      <c r="B426" t="n">
        <v>1244.29</v>
      </c>
      <c r="C426" t="n">
        <v>1214.72</v>
      </c>
      <c r="D426" t="n">
        <v>1241.2</v>
      </c>
      <c r="E426" s="5">
        <f>ABS(C426-B426)/B426</f>
        <v/>
      </c>
      <c r="F426" s="5">
        <f>ABS(D426-B426)/B426</f>
        <v/>
      </c>
      <c r="G426">
        <f>IF(E426&lt;F426,"model","official")</f>
        <v/>
      </c>
    </row>
    <row r="427">
      <c r="A427" s="2" t="n">
        <v>45718</v>
      </c>
      <c r="B427" t="n">
        <v>1182.74</v>
      </c>
      <c r="C427" t="n">
        <v>1138.89</v>
      </c>
      <c r="D427" t="n">
        <v>1160.92</v>
      </c>
      <c r="E427" s="5">
        <f>ABS(C427-B427)/B427</f>
        <v/>
      </c>
      <c r="F427" s="5">
        <f>ABS(D427-B427)/B427</f>
        <v/>
      </c>
      <c r="G427">
        <f>IF(E427&lt;F427,"model","official")</f>
        <v/>
      </c>
    </row>
    <row r="428">
      <c r="A428" s="2" t="n">
        <v>45719</v>
      </c>
      <c r="B428" t="n">
        <v>1405.73</v>
      </c>
      <c r="C428" t="n">
        <v>1394.04</v>
      </c>
      <c r="D428" t="n">
        <v>1444.83</v>
      </c>
      <c r="E428" s="5">
        <f>ABS(C428-B428)/B428</f>
        <v/>
      </c>
      <c r="F428" s="5">
        <f>ABS(D428-B428)/B428</f>
        <v/>
      </c>
      <c r="G428">
        <f>IF(E428&lt;F428,"model","official")</f>
        <v/>
      </c>
    </row>
    <row r="429">
      <c r="A429" s="2" t="n">
        <v>45720</v>
      </c>
      <c r="B429" t="n">
        <v>1447.9</v>
      </c>
      <c r="C429" t="n">
        <v>1423.39</v>
      </c>
      <c r="D429" t="n">
        <v>1470.26</v>
      </c>
      <c r="E429" s="5">
        <f>ABS(C429-B429)/B429</f>
        <v/>
      </c>
      <c r="F429" s="5">
        <f>ABS(D429-B429)/B429</f>
        <v/>
      </c>
      <c r="G429">
        <f>IF(E429&lt;F429,"model","official")</f>
        <v/>
      </c>
    </row>
    <row r="430">
      <c r="A430" s="2" t="n">
        <v>45721</v>
      </c>
      <c r="B430" t="n">
        <v>1447.37</v>
      </c>
      <c r="C430" t="n">
        <v>1424.76</v>
      </c>
      <c r="D430" t="n">
        <v>1454.77</v>
      </c>
      <c r="E430" s="5">
        <f>ABS(C430-B430)/B430</f>
        <v/>
      </c>
      <c r="F430" s="5">
        <f>ABS(D430-B430)/B430</f>
        <v/>
      </c>
      <c r="G430">
        <f>IF(E430&lt;F430,"model","official")</f>
        <v/>
      </c>
    </row>
    <row r="431">
      <c r="A431" s="2" t="n">
        <v>45722</v>
      </c>
      <c r="B431" t="n">
        <v>1398.05</v>
      </c>
      <c r="C431" t="n">
        <v>1429.09</v>
      </c>
      <c r="D431" t="n">
        <v>1401.98</v>
      </c>
      <c r="E431" s="5">
        <f>ABS(C431-B431)/B431</f>
        <v/>
      </c>
      <c r="F431" s="5">
        <f>ABS(D431-B431)/B431</f>
        <v/>
      </c>
      <c r="G431">
        <f>IF(E431&lt;F431,"model","official")</f>
        <v/>
      </c>
    </row>
    <row r="432">
      <c r="A432" s="2" t="n">
        <v>45723</v>
      </c>
      <c r="B432" t="n">
        <v>1329.33</v>
      </c>
      <c r="C432" t="n">
        <v>1404.71</v>
      </c>
      <c r="D432" t="n">
        <v>1393.1</v>
      </c>
      <c r="E432" s="5">
        <f>ABS(C432-B432)/B432</f>
        <v/>
      </c>
      <c r="F432" s="5">
        <f>ABS(D432-B432)/B432</f>
        <v/>
      </c>
      <c r="G432">
        <f>IF(E432&lt;F432,"model","official")</f>
        <v/>
      </c>
    </row>
    <row r="433">
      <c r="A433" s="2" t="n">
        <v>45724</v>
      </c>
      <c r="B433" t="n">
        <v>1146.98</v>
      </c>
      <c r="C433" t="n">
        <v>1206.66</v>
      </c>
      <c r="D433" t="n">
        <v>1179.99</v>
      </c>
      <c r="E433" s="5">
        <f>ABS(C433-B433)/B433</f>
        <v/>
      </c>
      <c r="F433" s="5">
        <f>ABS(D433-B433)/B433</f>
        <v/>
      </c>
      <c r="G433">
        <f>IF(E433&lt;F433,"model","official")</f>
        <v/>
      </c>
    </row>
    <row r="434">
      <c r="A434" s="2" t="n">
        <v>45725</v>
      </c>
      <c r="B434" t="n">
        <v>1099.82</v>
      </c>
      <c r="C434" t="n">
        <v>1125.82</v>
      </c>
      <c r="D434" t="n">
        <v>1125.22</v>
      </c>
      <c r="E434" s="5">
        <f>ABS(C434-B434)/B434</f>
        <v/>
      </c>
      <c r="F434" s="5">
        <f>ABS(D434-B434)/B434</f>
        <v/>
      </c>
      <c r="G434">
        <f>IF(E434&lt;F434,"model","official")</f>
        <v/>
      </c>
    </row>
    <row r="435">
      <c r="A435" s="2" t="n">
        <v>45726</v>
      </c>
      <c r="B435" t="n">
        <v>1344.02</v>
      </c>
      <c r="C435" t="n">
        <v>1363.79</v>
      </c>
      <c r="D435" t="n">
        <v>1381.04</v>
      </c>
      <c r="E435" s="5">
        <f>ABS(C435-B435)/B435</f>
        <v/>
      </c>
      <c r="F435" s="5">
        <f>ABS(D435-B435)/B435</f>
        <v/>
      </c>
      <c r="G435">
        <f>IF(E435&lt;F435,"model","official")</f>
        <v/>
      </c>
    </row>
    <row r="436">
      <c r="A436" s="2" t="n">
        <v>45727</v>
      </c>
      <c r="B436" t="n">
        <v>1391.01</v>
      </c>
      <c r="C436" t="n">
        <v>1379.26</v>
      </c>
      <c r="D436" t="n">
        <v>1414.92</v>
      </c>
      <c r="E436" s="5">
        <f>ABS(C436-B436)/B436</f>
        <v/>
      </c>
      <c r="F436" s="5">
        <f>ABS(D436-B436)/B436</f>
        <v/>
      </c>
      <c r="G436">
        <f>IF(E436&lt;F436,"model","official")</f>
        <v/>
      </c>
    </row>
    <row r="437">
      <c r="A437" s="2" t="n">
        <v>45728</v>
      </c>
      <c r="B437" t="n">
        <v>1418.16</v>
      </c>
      <c r="C437" t="n">
        <v>1375.55</v>
      </c>
      <c r="D437" t="n">
        <v>1420.75</v>
      </c>
      <c r="E437" s="5">
        <f>ABS(C437-B437)/B437</f>
        <v/>
      </c>
      <c r="F437" s="5">
        <f>ABS(D437-B437)/B437</f>
        <v/>
      </c>
      <c r="G437">
        <f>IF(E437&lt;F437,"model","official")</f>
        <v/>
      </c>
    </row>
    <row r="438">
      <c r="A438" s="2" t="n">
        <v>45729</v>
      </c>
      <c r="B438" t="n">
        <v>1431.45</v>
      </c>
      <c r="C438" t="n">
        <v>1363.51</v>
      </c>
      <c r="D438" t="n">
        <v>1412</v>
      </c>
      <c r="E438" s="5">
        <f>ABS(C438-B438)/B438</f>
        <v/>
      </c>
      <c r="F438" s="5">
        <f>ABS(D438-B438)/B438</f>
        <v/>
      </c>
      <c r="G438">
        <f>IF(E438&lt;F438,"model","official")</f>
        <v/>
      </c>
    </row>
    <row r="439">
      <c r="A439" s="2" t="n">
        <v>45730</v>
      </c>
      <c r="B439" t="n">
        <v>1416.7</v>
      </c>
      <c r="C439" t="n">
        <v>1332.16</v>
      </c>
      <c r="D439" t="n">
        <v>1406.49</v>
      </c>
      <c r="E439" s="5">
        <f>ABS(C439-B439)/B439</f>
        <v/>
      </c>
      <c r="F439" s="5">
        <f>ABS(D439-B439)/B439</f>
        <v/>
      </c>
      <c r="G439">
        <f>IF(E439&lt;F439,"model","official")</f>
        <v/>
      </c>
    </row>
    <row r="440">
      <c r="A440" s="2" t="n">
        <v>45731</v>
      </c>
      <c r="B440" t="n">
        <v>1202.48</v>
      </c>
      <c r="C440" t="n">
        <v>1152.41</v>
      </c>
      <c r="D440" t="n">
        <v>1228.04</v>
      </c>
      <c r="E440" s="5">
        <f>ABS(C440-B440)/B440</f>
        <v/>
      </c>
      <c r="F440" s="5">
        <f>ABS(D440-B440)/B440</f>
        <v/>
      </c>
      <c r="G440">
        <f>IF(E440&lt;F440,"model","official")</f>
        <v/>
      </c>
    </row>
    <row r="441">
      <c r="A441" s="2" t="n">
        <v>45732</v>
      </c>
      <c r="B441" t="n">
        <v>1153.09</v>
      </c>
      <c r="C441" t="n">
        <v>1095.84</v>
      </c>
      <c r="D441" t="n">
        <v>1160.13</v>
      </c>
      <c r="E441" s="5">
        <f>ABS(C441-B441)/B441</f>
        <v/>
      </c>
      <c r="F441" s="5">
        <f>ABS(D441-B441)/B441</f>
        <v/>
      </c>
      <c r="G441">
        <f>IF(E441&lt;F441,"model","official")</f>
        <v/>
      </c>
    </row>
    <row r="442">
      <c r="A442" s="2" t="n">
        <v>45733</v>
      </c>
      <c r="B442" t="n">
        <v>1401.57</v>
      </c>
      <c r="C442" t="n">
        <v>1350.48</v>
      </c>
      <c r="D442" t="n">
        <v>1431.89</v>
      </c>
      <c r="E442" s="5">
        <f>ABS(C442-B442)/B442</f>
        <v/>
      </c>
      <c r="F442" s="5">
        <f>ABS(D442-B442)/B442</f>
        <v/>
      </c>
      <c r="G442">
        <f>IF(E442&lt;F442,"model","official")</f>
        <v/>
      </c>
    </row>
    <row r="443">
      <c r="A443" s="2" t="n">
        <v>45734</v>
      </c>
      <c r="B443" t="n">
        <v>1402.29</v>
      </c>
      <c r="C443" t="n">
        <v>1385.6</v>
      </c>
      <c r="D443" t="n">
        <v>1459.26</v>
      </c>
      <c r="E443" s="5">
        <f>ABS(C443-B443)/B443</f>
        <v/>
      </c>
      <c r="F443" s="5">
        <f>ABS(D443-B443)/B443</f>
        <v/>
      </c>
      <c r="G443">
        <f>IF(E443&lt;F443,"model","official")</f>
        <v/>
      </c>
    </row>
    <row r="444">
      <c r="A444" s="2" t="n">
        <v>45735</v>
      </c>
      <c r="B444" t="n">
        <v>1372.99</v>
      </c>
      <c r="C444" t="n">
        <v>1400.57</v>
      </c>
      <c r="D444" t="n">
        <v>1442.35</v>
      </c>
      <c r="E444" s="5">
        <f>ABS(C444-B444)/B444</f>
        <v/>
      </c>
      <c r="F444" s="5">
        <f>ABS(D444-B444)/B444</f>
        <v/>
      </c>
      <c r="G444">
        <f>IF(E444&lt;F444,"model","official")</f>
        <v/>
      </c>
    </row>
    <row r="445">
      <c r="A445" s="2" t="n">
        <v>45736</v>
      </c>
      <c r="B445" t="n">
        <v>1346.67</v>
      </c>
      <c r="C445" t="n">
        <v>1401.58</v>
      </c>
      <c r="D445" t="n">
        <v>1397.99</v>
      </c>
      <c r="E445" s="5">
        <f>ABS(C445-B445)/B445</f>
        <v/>
      </c>
      <c r="F445" s="5">
        <f>ABS(D445-B445)/B445</f>
        <v/>
      </c>
      <c r="G445">
        <f>IF(E445&lt;F445,"model","official")</f>
        <v/>
      </c>
    </row>
    <row r="446">
      <c r="A446" s="2" t="n">
        <v>45737</v>
      </c>
      <c r="B446" t="n">
        <v>1347.45</v>
      </c>
      <c r="C446" t="n">
        <v>1370.42</v>
      </c>
      <c r="D446" t="n">
        <v>1339.65</v>
      </c>
      <c r="E446" s="5">
        <f>ABS(C446-B446)/B446</f>
        <v/>
      </c>
      <c r="F446" s="5">
        <f>ABS(D446-B446)/B446</f>
        <v/>
      </c>
      <c r="G446">
        <f>IF(E446&lt;F446,"model","official")</f>
        <v/>
      </c>
    </row>
    <row r="447">
      <c r="A447" s="2" t="n">
        <v>45738</v>
      </c>
      <c r="B447" t="n">
        <v>1185.54</v>
      </c>
      <c r="C447" t="n">
        <v>1170.63</v>
      </c>
      <c r="D447" t="n">
        <v>1195.03</v>
      </c>
      <c r="E447" s="5">
        <f>ABS(C447-B447)/B447</f>
        <v/>
      </c>
      <c r="F447" s="5">
        <f>ABS(D447-B447)/B447</f>
        <v/>
      </c>
      <c r="G447">
        <f>IF(E447&lt;F447,"model","official")</f>
        <v/>
      </c>
    </row>
    <row r="448">
      <c r="A448" s="2" t="n">
        <v>45739</v>
      </c>
      <c r="B448" t="n">
        <v>1126.02</v>
      </c>
      <c r="C448" t="n">
        <v>1095.68</v>
      </c>
      <c r="D448" t="n">
        <v>1124.82</v>
      </c>
      <c r="E448" s="5">
        <f>ABS(C448-B448)/B448</f>
        <v/>
      </c>
      <c r="F448" s="5">
        <f>ABS(D448-B448)/B448</f>
        <v/>
      </c>
      <c r="G448">
        <f>IF(E448&lt;F448,"model","official")</f>
        <v/>
      </c>
    </row>
    <row r="449">
      <c r="A449" s="2" t="n">
        <v>45740</v>
      </c>
      <c r="B449" t="n">
        <v>1318.67</v>
      </c>
      <c r="C449" t="n">
        <v>1340.3</v>
      </c>
      <c r="D449" t="n">
        <v>1348.23</v>
      </c>
      <c r="E449" s="5">
        <f>ABS(C449-B449)/B449</f>
        <v/>
      </c>
      <c r="F449" s="5">
        <f>ABS(D449-B449)/B449</f>
        <v/>
      </c>
      <c r="G449">
        <f>IF(E449&lt;F449,"model","official")</f>
        <v/>
      </c>
    </row>
    <row r="450">
      <c r="A450" s="2" t="n">
        <v>45741</v>
      </c>
      <c r="B450" t="n">
        <v>1388.53</v>
      </c>
      <c r="C450" t="n">
        <v>1362.69</v>
      </c>
      <c r="D450" t="n">
        <v>1376.25</v>
      </c>
      <c r="E450" s="5">
        <f>ABS(C450-B450)/B450</f>
        <v/>
      </c>
      <c r="F450" s="5">
        <f>ABS(D450-B450)/B450</f>
        <v/>
      </c>
      <c r="G450">
        <f>IF(E450&lt;F450,"model","official")</f>
        <v/>
      </c>
    </row>
    <row r="451">
      <c r="A451" s="2" t="n">
        <v>45742</v>
      </c>
      <c r="B451" t="n">
        <v>1399.18</v>
      </c>
      <c r="C451" t="n">
        <v>1355.81</v>
      </c>
      <c r="D451" t="n">
        <v>1381.9</v>
      </c>
      <c r="E451" s="5">
        <f>ABS(C451-B451)/B451</f>
        <v/>
      </c>
      <c r="F451" s="5">
        <f>ABS(D451-B451)/B451</f>
        <v/>
      </c>
      <c r="G451">
        <f>IF(E451&lt;F451,"model","official")</f>
        <v/>
      </c>
    </row>
    <row r="452">
      <c r="A452" s="2" t="n">
        <v>45743</v>
      </c>
      <c r="B452" t="n">
        <v>1360.87</v>
      </c>
      <c r="C452" t="n">
        <v>1351.37</v>
      </c>
      <c r="D452" t="n">
        <v>1363.2</v>
      </c>
      <c r="E452" s="5">
        <f>ABS(C452-B452)/B452</f>
        <v/>
      </c>
      <c r="F452" s="5">
        <f>ABS(D452-B452)/B452</f>
        <v/>
      </c>
      <c r="G452">
        <f>IF(E452&lt;F452,"model","official")</f>
        <v/>
      </c>
    </row>
    <row r="453">
      <c r="A453" s="2" t="n">
        <v>45744</v>
      </c>
      <c r="B453" t="n">
        <v>1307.69</v>
      </c>
      <c r="C453" t="n">
        <v>1331.88</v>
      </c>
      <c r="D453" t="n">
        <v>1338.69</v>
      </c>
      <c r="E453" s="5">
        <f>ABS(C453-B453)/B453</f>
        <v/>
      </c>
      <c r="F453" s="5">
        <f>ABS(D453-B453)/B453</f>
        <v/>
      </c>
      <c r="G453">
        <f>IF(E453&lt;F453,"model","official")</f>
        <v/>
      </c>
    </row>
    <row r="454">
      <c r="A454" s="2" t="n">
        <v>45745</v>
      </c>
      <c r="B454" t="n">
        <v>1126.67</v>
      </c>
      <c r="C454" t="n">
        <v>1151.52</v>
      </c>
      <c r="D454" t="n">
        <v>1195.09</v>
      </c>
      <c r="E454" s="5">
        <f>ABS(C454-B454)/B454</f>
        <v/>
      </c>
      <c r="F454" s="5">
        <f>ABS(D454-B454)/B454</f>
        <v/>
      </c>
      <c r="G454">
        <f>IF(E454&lt;F454,"model","official")</f>
        <v/>
      </c>
    </row>
    <row r="455">
      <c r="A455" s="2" t="n">
        <v>45746</v>
      </c>
      <c r="B455" t="n">
        <v>1078.48</v>
      </c>
      <c r="C455" t="n">
        <v>1081.46</v>
      </c>
      <c r="D455" t="n">
        <v>1102.23</v>
      </c>
      <c r="E455" s="5">
        <f>ABS(C455-B455)/B455</f>
        <v/>
      </c>
      <c r="F455" s="5">
        <f>ABS(D455-B455)/B455</f>
        <v/>
      </c>
      <c r="G455">
        <f>IF(E455&lt;F455,"model","official")</f>
        <v/>
      </c>
    </row>
    <row r="456">
      <c r="A456" s="2" t="n">
        <v>45747</v>
      </c>
      <c r="B456" t="n">
        <v>1341.87</v>
      </c>
      <c r="C456" t="n">
        <v>1314.6</v>
      </c>
      <c r="D456" t="n">
        <v>1385.96</v>
      </c>
      <c r="E456" s="5">
        <f>ABS(C456-B456)/B456</f>
        <v/>
      </c>
      <c r="F456" s="5">
        <f>ABS(D456-B456)/B456</f>
        <v/>
      </c>
      <c r="G456">
        <f>IF(E456&lt;F456,"model","official")</f>
        <v/>
      </c>
    </row>
    <row r="457">
      <c r="A457" s="2" t="n">
        <v>45748</v>
      </c>
      <c r="B457" t="n">
        <v>1342.9</v>
      </c>
      <c r="C457" t="n">
        <v>1336.51</v>
      </c>
      <c r="D457" t="n">
        <v>1388.4</v>
      </c>
      <c r="E457" s="5">
        <f>ABS(C457-B457)/B457</f>
        <v/>
      </c>
      <c r="F457" s="5">
        <f>ABS(D457-B457)/B457</f>
        <v/>
      </c>
      <c r="G457">
        <f>IF(E457&lt;F457,"model","official")</f>
        <v/>
      </c>
    </row>
    <row r="458">
      <c r="A458" s="2" t="n">
        <v>45749</v>
      </c>
      <c r="B458" t="n">
        <v>1317.06</v>
      </c>
      <c r="C458" t="n">
        <v>1346.75</v>
      </c>
      <c r="D458" t="n">
        <v>1382.03</v>
      </c>
      <c r="E458" s="5">
        <f>ABS(C458-B458)/B458</f>
        <v/>
      </c>
      <c r="F458" s="5">
        <f>ABS(D458-B458)/B458</f>
        <v/>
      </c>
      <c r="G458">
        <f>IF(E458&lt;F458,"model","official")</f>
        <v/>
      </c>
    </row>
    <row r="459">
      <c r="A459" s="2" t="n">
        <v>45750</v>
      </c>
      <c r="B459" t="n">
        <v>1298.44</v>
      </c>
      <c r="C459" t="n">
        <v>1337.57</v>
      </c>
      <c r="D459" t="n">
        <v>1358.08</v>
      </c>
      <c r="E459" s="5">
        <f>ABS(C459-B459)/B459</f>
        <v/>
      </c>
      <c r="F459" s="5">
        <f>ABS(D459-B459)/B459</f>
        <v/>
      </c>
      <c r="G459">
        <f>IF(E459&lt;F459,"model","official")</f>
        <v/>
      </c>
    </row>
    <row r="460">
      <c r="A460" s="2" t="n">
        <v>45751</v>
      </c>
      <c r="B460" t="n">
        <v>1267.08</v>
      </c>
      <c r="C460" t="n">
        <v>1300.98</v>
      </c>
      <c r="D460" t="n">
        <v>1328.95</v>
      </c>
      <c r="E460" s="5">
        <f>ABS(C460-B460)/B460</f>
        <v/>
      </c>
      <c r="F460" s="5">
        <f>ABS(D460-B460)/B460</f>
        <v/>
      </c>
      <c r="G460">
        <f>IF(E460&lt;F460,"model","official")</f>
        <v/>
      </c>
    </row>
    <row r="461">
      <c r="A461" s="2" t="n">
        <v>45752</v>
      </c>
      <c r="B461" t="n">
        <v>1102.79</v>
      </c>
      <c r="C461" t="n">
        <v>1114.74</v>
      </c>
      <c r="D461" t="n">
        <v>1157.48</v>
      </c>
      <c r="E461" s="5">
        <f>ABS(C461-B461)/B461</f>
        <v/>
      </c>
      <c r="F461" s="5">
        <f>ABS(D461-B461)/B461</f>
        <v/>
      </c>
      <c r="G461">
        <f>IF(E461&lt;F461,"model","official")</f>
        <v/>
      </c>
    </row>
    <row r="462">
      <c r="A462" s="2" t="n">
        <v>45753</v>
      </c>
      <c r="B462" t="n">
        <v>1053.18</v>
      </c>
      <c r="C462" t="n">
        <v>1047.27</v>
      </c>
      <c r="D462" t="n">
        <v>1113.64</v>
      </c>
      <c r="E462" s="5">
        <f>ABS(C462-B462)/B462</f>
        <v/>
      </c>
      <c r="F462" s="5">
        <f>ABS(D462-B462)/B462</f>
        <v/>
      </c>
      <c r="G462">
        <f>IF(E462&lt;F462,"model","official")</f>
        <v/>
      </c>
    </row>
    <row r="463">
      <c r="A463" s="2" t="n">
        <v>45754</v>
      </c>
      <c r="B463" t="n">
        <v>1293.66</v>
      </c>
      <c r="C463" t="n">
        <v>1281.54</v>
      </c>
      <c r="D463" t="n">
        <v>1356.14</v>
      </c>
      <c r="E463" s="5">
        <f>ABS(C463-B463)/B463</f>
        <v/>
      </c>
      <c r="F463" s="5">
        <f>ABS(D463-B463)/B463</f>
        <v/>
      </c>
      <c r="G463">
        <f>IF(E463&lt;F463,"model","official")</f>
        <v/>
      </c>
    </row>
    <row r="464">
      <c r="A464" s="2" t="n">
        <v>45755</v>
      </c>
      <c r="B464" t="n">
        <v>1301.07</v>
      </c>
      <c r="C464" t="n">
        <v>1302.98</v>
      </c>
      <c r="D464" t="n">
        <v>1389.15</v>
      </c>
      <c r="E464" s="5">
        <f>ABS(C464-B464)/B464</f>
        <v/>
      </c>
      <c r="F464" s="5">
        <f>ABS(D464-B464)/B464</f>
        <v/>
      </c>
      <c r="G464">
        <f>IF(E464&lt;F464,"model","official")</f>
        <v/>
      </c>
    </row>
    <row r="465">
      <c r="A465" s="2" t="n">
        <v>45756</v>
      </c>
      <c r="B465" t="n">
        <v>1326.98</v>
      </c>
      <c r="C465" t="n">
        <v>1301.4</v>
      </c>
      <c r="D465" t="n">
        <v>1361.77</v>
      </c>
      <c r="E465" s="5">
        <f>ABS(C465-B465)/B465</f>
        <v/>
      </c>
      <c r="F465" s="5">
        <f>ABS(D465-B465)/B465</f>
        <v/>
      </c>
      <c r="G465">
        <f>IF(E465&lt;F465,"model","official")</f>
        <v/>
      </c>
    </row>
    <row r="466">
      <c r="A466" s="2" t="n">
        <v>45757</v>
      </c>
      <c r="B466" t="n">
        <v>1343.98</v>
      </c>
      <c r="C466" t="n">
        <v>1293.88</v>
      </c>
      <c r="D466" t="n">
        <v>1342.33</v>
      </c>
      <c r="E466" s="5">
        <f>ABS(C466-B466)/B466</f>
        <v/>
      </c>
      <c r="F466" s="5">
        <f>ABS(D466-B466)/B466</f>
        <v/>
      </c>
      <c r="G466">
        <f>IF(E466&lt;F466,"model","official")</f>
        <v/>
      </c>
    </row>
    <row r="467">
      <c r="A467" s="2" t="n">
        <v>45758</v>
      </c>
      <c r="B467" t="n">
        <v>1317.89</v>
      </c>
      <c r="C467" t="n">
        <v>1272.09</v>
      </c>
      <c r="D467" t="n">
        <v>1340.14</v>
      </c>
      <c r="E467" s="5">
        <f>ABS(C467-B467)/B467</f>
        <v/>
      </c>
      <c r="F467" s="5">
        <f>ABS(D467-B467)/B467</f>
        <v/>
      </c>
      <c r="G467">
        <f>IF(E467&lt;F467,"model","official")</f>
        <v/>
      </c>
    </row>
    <row r="468">
      <c r="A468" s="2" t="n">
        <v>45759</v>
      </c>
      <c r="B468" t="n">
        <v>1084.51</v>
      </c>
      <c r="C468" t="n">
        <v>1103.54</v>
      </c>
      <c r="D468" t="n">
        <v>1157.89</v>
      </c>
      <c r="E468" s="5">
        <f>ABS(C468-B468)/B468</f>
        <v/>
      </c>
      <c r="F468" s="5">
        <f>ABS(D468-B468)/B468</f>
        <v/>
      </c>
      <c r="G468">
        <f>IF(E468&lt;F468,"model","official")</f>
        <v/>
      </c>
    </row>
    <row r="469">
      <c r="A469" s="2" t="n">
        <v>45760</v>
      </c>
      <c r="B469" t="n">
        <v>1072.55</v>
      </c>
      <c r="C469" t="n">
        <v>1047.15</v>
      </c>
      <c r="D469" t="n">
        <v>1078.79</v>
      </c>
      <c r="E469" s="5">
        <f>ABS(C469-B469)/B469</f>
        <v/>
      </c>
      <c r="F469" s="5">
        <f>ABS(D469-B469)/B469</f>
        <v/>
      </c>
      <c r="G469">
        <f>IF(E469&lt;F469,"model","official")</f>
        <v/>
      </c>
    </row>
    <row r="470">
      <c r="A470" s="2" t="n">
        <v>45761</v>
      </c>
      <c r="B470" t="n">
        <v>1268.21</v>
      </c>
      <c r="C470" t="n">
        <v>1281.55</v>
      </c>
      <c r="D470" t="n">
        <v>1305.77</v>
      </c>
      <c r="E470" s="5">
        <f>ABS(C470-B470)/B470</f>
        <v/>
      </c>
      <c r="F470" s="5">
        <f>ABS(D470-B470)/B470</f>
        <v/>
      </c>
      <c r="G470">
        <f>IF(E470&lt;F470,"model","official")</f>
        <v/>
      </c>
    </row>
    <row r="471">
      <c r="A471" s="2" t="n">
        <v>45762</v>
      </c>
      <c r="B471" t="n">
        <v>1332.44</v>
      </c>
      <c r="C471" t="n">
        <v>1309.8</v>
      </c>
      <c r="D471" t="n">
        <v>1369.27</v>
      </c>
      <c r="E471" s="5">
        <f>ABS(C471-B471)/B471</f>
        <v/>
      </c>
      <c r="F471" s="5">
        <f>ABS(D471-B471)/B471</f>
        <v/>
      </c>
      <c r="G471">
        <f>IF(E471&lt;F471,"model","official")</f>
        <v/>
      </c>
    </row>
    <row r="472">
      <c r="A472" s="2" t="n">
        <v>45763</v>
      </c>
      <c r="B472" t="n">
        <v>1304.24</v>
      </c>
      <c r="C472" t="n">
        <v>1314.06</v>
      </c>
      <c r="D472" t="n">
        <v>1351.1</v>
      </c>
      <c r="E472" s="5">
        <f>ABS(C472-B472)/B472</f>
        <v/>
      </c>
      <c r="F472" s="5">
        <f>ABS(D472-B472)/B472</f>
        <v/>
      </c>
      <c r="G472">
        <f>IF(E472&lt;F472,"model","official")</f>
        <v/>
      </c>
    </row>
    <row r="473">
      <c r="A473" s="2" t="n">
        <v>45764</v>
      </c>
      <c r="B473" t="n">
        <v>1328.35</v>
      </c>
      <c r="C473" t="n">
        <v>1318.8</v>
      </c>
      <c r="D473" t="n">
        <v>1322.24</v>
      </c>
      <c r="E473" s="5">
        <f>ABS(C473-B473)/B473</f>
        <v/>
      </c>
      <c r="F473" s="5">
        <f>ABS(D473-B473)/B473</f>
        <v/>
      </c>
      <c r="G473">
        <f>IF(E473&lt;F473,"model","official")</f>
        <v/>
      </c>
    </row>
    <row r="474">
      <c r="A474" s="2" t="n">
        <v>45765</v>
      </c>
      <c r="B474" t="n">
        <v>1079.11</v>
      </c>
      <c r="C474" t="n">
        <v>1060.18</v>
      </c>
      <c r="D474" t="n">
        <v>1111.04</v>
      </c>
      <c r="E474" s="5">
        <f>ABS(C474-B474)/B474</f>
        <v/>
      </c>
      <c r="F474" s="5">
        <f>ABS(D474-B474)/B474</f>
        <v/>
      </c>
      <c r="G474">
        <f>IF(E474&lt;F474,"model","official")</f>
        <v/>
      </c>
    </row>
    <row r="475">
      <c r="A475" s="2" t="n">
        <v>45766</v>
      </c>
      <c r="B475" t="n">
        <v>1036.64</v>
      </c>
      <c r="C475" t="n">
        <v>1110.75</v>
      </c>
      <c r="D475" t="n">
        <v>1148.02</v>
      </c>
      <c r="E475" s="5">
        <f>ABS(C475-B475)/B475</f>
        <v/>
      </c>
      <c r="F475" s="5">
        <f>ABS(D475-B475)/B475</f>
        <v/>
      </c>
      <c r="G475">
        <f>IF(E475&lt;F475,"model","official")</f>
        <v/>
      </c>
    </row>
    <row r="476">
      <c r="A476" s="2" t="n">
        <v>45767</v>
      </c>
      <c r="B476" t="n">
        <v>950.21</v>
      </c>
      <c r="C476" t="n">
        <v>1022.5</v>
      </c>
      <c r="D476" t="n">
        <v>1007.53</v>
      </c>
      <c r="E476" s="5">
        <f>ABS(C476-B476)/B476</f>
        <v/>
      </c>
      <c r="F476" s="5">
        <f>ABS(D476-B476)/B476</f>
        <v/>
      </c>
      <c r="G476">
        <f>IF(E476&lt;F476,"model","official")</f>
        <v/>
      </c>
    </row>
    <row r="477">
      <c r="A477" s="2" t="n">
        <v>45768</v>
      </c>
      <c r="B477" t="n">
        <v>982.26</v>
      </c>
      <c r="C477" t="n">
        <v>1021.27</v>
      </c>
      <c r="D477" t="n">
        <v>1062.45</v>
      </c>
      <c r="E477" s="5">
        <f>ABS(C477-B477)/B477</f>
        <v/>
      </c>
      <c r="F477" s="5">
        <f>ABS(D477-B477)/B477</f>
        <v/>
      </c>
      <c r="G477">
        <f>IF(E477&lt;F477,"model","official")</f>
        <v/>
      </c>
    </row>
    <row r="478">
      <c r="A478" s="2" t="n">
        <v>45769</v>
      </c>
      <c r="B478" t="n">
        <v>1228.78</v>
      </c>
      <c r="C478" t="n">
        <v>1253.77</v>
      </c>
      <c r="D478" t="n">
        <v>1304.34</v>
      </c>
      <c r="E478" s="5">
        <f>ABS(C478-B478)/B478</f>
        <v/>
      </c>
      <c r="F478" s="5">
        <f>ABS(D478-B478)/B478</f>
        <v/>
      </c>
      <c r="G478">
        <f>IF(E478&lt;F478,"model","official")</f>
        <v/>
      </c>
    </row>
    <row r="479">
      <c r="A479" s="2" t="n">
        <v>45770</v>
      </c>
      <c r="B479" t="n">
        <v>1284.8</v>
      </c>
      <c r="C479" t="n">
        <v>1217.42</v>
      </c>
      <c r="D479" t="n">
        <v>1332.29</v>
      </c>
      <c r="E479" s="5">
        <f>ABS(C479-B479)/B479</f>
        <v/>
      </c>
      <c r="F479" s="5">
        <f>ABS(D479-B479)/B479</f>
        <v/>
      </c>
      <c r="G479">
        <f>IF(E479&lt;F479,"model","official")</f>
        <v/>
      </c>
    </row>
    <row r="480">
      <c r="A480" s="2" t="n">
        <v>45771</v>
      </c>
      <c r="B480" t="n">
        <v>1330.4</v>
      </c>
      <c r="C480" t="n">
        <v>1202.59</v>
      </c>
      <c r="D480" t="n">
        <v>1327.29</v>
      </c>
      <c r="E480" s="5">
        <f>ABS(C480-B480)/B480</f>
        <v/>
      </c>
      <c r="F480" s="5">
        <f>ABS(D480-B480)/B480</f>
        <v/>
      </c>
      <c r="G480">
        <f>IF(E480&lt;F480,"model","official")</f>
        <v/>
      </c>
    </row>
    <row r="481">
      <c r="A481" s="2" t="n">
        <v>45772</v>
      </c>
      <c r="B481" t="n">
        <v>1294.83</v>
      </c>
      <c r="C481" t="n">
        <v>1166.96</v>
      </c>
      <c r="D481" t="n">
        <v>1325.76</v>
      </c>
      <c r="E481" s="5">
        <f>ABS(C481-B481)/B481</f>
        <v/>
      </c>
      <c r="F481" s="5">
        <f>ABS(D481-B481)/B481</f>
        <v/>
      </c>
      <c r="G481">
        <f>IF(E481&lt;F481,"model","official")</f>
        <v/>
      </c>
    </row>
    <row r="482">
      <c r="A482" s="2" t="n">
        <v>45773</v>
      </c>
      <c r="B482" t="n">
        <v>1075.47</v>
      </c>
      <c r="C482" t="n">
        <v>1012.38</v>
      </c>
      <c r="D482" t="n">
        <v>1140.33</v>
      </c>
      <c r="E482" s="5">
        <f>ABS(C482-B482)/B482</f>
        <v/>
      </c>
      <c r="F482" s="5">
        <f>ABS(D482-B482)/B482</f>
        <v/>
      </c>
      <c r="G482">
        <f>IF(E482&lt;F482,"model","official")</f>
        <v/>
      </c>
    </row>
    <row r="483">
      <c r="A483" s="2" t="n">
        <v>45774</v>
      </c>
      <c r="B483" t="n">
        <v>997.39</v>
      </c>
      <c r="C483" t="n">
        <v>978.99</v>
      </c>
      <c r="D483" t="n">
        <v>1056.41</v>
      </c>
      <c r="E483" s="5">
        <f>ABS(C483-B483)/B483</f>
        <v/>
      </c>
      <c r="F483" s="5">
        <f>ABS(D483-B483)/B483</f>
        <v/>
      </c>
      <c r="G483">
        <f>IF(E483&lt;F483,"model","official")</f>
        <v/>
      </c>
    </row>
    <row r="484">
      <c r="A484" s="2" t="n">
        <v>45775</v>
      </c>
      <c r="B484" t="n">
        <v>1231.66</v>
      </c>
      <c r="C484" t="n">
        <v>1195.62</v>
      </c>
      <c r="D484" t="n">
        <v>1317.45</v>
      </c>
      <c r="E484" s="5">
        <f>ABS(C484-B484)/B484</f>
        <v/>
      </c>
      <c r="F484" s="5">
        <f>ABS(D484-B484)/B484</f>
        <v/>
      </c>
      <c r="G484">
        <f>IF(E484&lt;F484,"model","official")</f>
        <v/>
      </c>
    </row>
    <row r="485">
      <c r="A485" s="2" t="n">
        <v>45776</v>
      </c>
      <c r="B485" t="n">
        <v>1263.5</v>
      </c>
      <c r="C485" t="n">
        <v>1240.52</v>
      </c>
      <c r="D485" t="n">
        <v>1344.41</v>
      </c>
      <c r="E485" s="5">
        <f>ABS(C485-B485)/B485</f>
        <v/>
      </c>
      <c r="F485" s="5">
        <f>ABS(D485-B485)/B485</f>
        <v/>
      </c>
      <c r="G485">
        <f>IF(E485&lt;F485,"model","official")</f>
        <v/>
      </c>
    </row>
    <row r="486">
      <c r="A486" s="2" t="n">
        <v>45777</v>
      </c>
      <c r="B486" t="n">
        <v>1231.32</v>
      </c>
      <c r="C486" t="n">
        <v>1285.5</v>
      </c>
      <c r="D486" t="n">
        <v>1330.73</v>
      </c>
      <c r="E486" s="5">
        <f>ABS(C486-B486)/B486</f>
        <v/>
      </c>
      <c r="F486" s="5">
        <f>ABS(D486-B486)/B486</f>
        <v/>
      </c>
      <c r="G486">
        <f>IF(E486&lt;F486,"model","official")</f>
        <v/>
      </c>
    </row>
    <row r="487">
      <c r="A487" s="2" t="n">
        <v>45778</v>
      </c>
      <c r="B487" t="n">
        <v>983</v>
      </c>
      <c r="C487" t="n">
        <v>1070.03</v>
      </c>
      <c r="D487" t="n">
        <v>1071.44</v>
      </c>
      <c r="E487" s="5">
        <f>ABS(C487-B487)/B487</f>
        <v/>
      </c>
      <c r="F487" s="5">
        <f>ABS(D487-B487)/B487</f>
        <v/>
      </c>
      <c r="G487">
        <f>IF(E487&lt;F487,"model","official")</f>
        <v/>
      </c>
    </row>
    <row r="488">
      <c r="A488" s="2" t="n">
        <v>45779</v>
      </c>
      <c r="B488" t="n">
        <v>1119</v>
      </c>
      <c r="C488" t="n">
        <v>1131.99</v>
      </c>
      <c r="D488" t="n">
        <v>1244.87</v>
      </c>
      <c r="E488" s="5">
        <f>ABS(C488-B488)/B488</f>
        <v/>
      </c>
      <c r="F488" s="5">
        <f>ABS(D488-B488)/B488</f>
        <v/>
      </c>
      <c r="G488">
        <f>IF(E488&lt;F488,"model","official")</f>
        <v/>
      </c>
    </row>
    <row r="489">
      <c r="A489" s="2" t="n">
        <v>45780</v>
      </c>
      <c r="B489" t="n">
        <v>1049.22</v>
      </c>
      <c r="C489" t="n">
        <v>1042.31</v>
      </c>
      <c r="D489" t="n">
        <v>1119.36</v>
      </c>
      <c r="E489" s="5">
        <f>ABS(C489-B489)/B489</f>
        <v/>
      </c>
      <c r="F489" s="5">
        <f>ABS(D489-B489)/B489</f>
        <v/>
      </c>
      <c r="G489">
        <f>IF(E489&lt;F489,"model","official")</f>
        <v/>
      </c>
    </row>
    <row r="490">
      <c r="A490" s="2" t="n">
        <v>45781</v>
      </c>
      <c r="B490" t="n">
        <v>1033.23</v>
      </c>
      <c r="C490" t="n">
        <v>962.59</v>
      </c>
      <c r="D490" t="n">
        <v>1041.86</v>
      </c>
      <c r="E490" s="5">
        <f>ABS(C490-B490)/B490</f>
        <v/>
      </c>
      <c r="F490" s="5">
        <f>ABS(D490-B490)/B490</f>
        <v/>
      </c>
      <c r="G490">
        <f>IF(E490&lt;F490,"model","official")</f>
        <v/>
      </c>
    </row>
    <row r="491">
      <c r="A491" s="2" t="n">
        <v>45782</v>
      </c>
      <c r="B491" t="n">
        <v>1256.33</v>
      </c>
      <c r="C491" t="n">
        <v>1176.94</v>
      </c>
      <c r="D491" t="n">
        <v>1269.53</v>
      </c>
      <c r="E491" s="5">
        <f>ABS(C491-B491)/B491</f>
        <v/>
      </c>
      <c r="F491" s="5">
        <f>ABS(D491-B491)/B491</f>
        <v/>
      </c>
      <c r="G491">
        <f>IF(E491&lt;F491,"model","official")</f>
        <v/>
      </c>
    </row>
    <row r="492">
      <c r="A492" s="2" t="n">
        <v>45783</v>
      </c>
      <c r="B492" t="n">
        <v>1274.75</v>
      </c>
      <c r="C492" t="n">
        <v>1207.43</v>
      </c>
      <c r="D492" t="n">
        <v>1305.08</v>
      </c>
      <c r="E492" s="5">
        <f>ABS(C492-B492)/B492</f>
        <v/>
      </c>
      <c r="F492" s="5">
        <f>ABS(D492-B492)/B492</f>
        <v/>
      </c>
      <c r="G492">
        <f>IF(E492&lt;F492,"model","official")</f>
        <v/>
      </c>
    </row>
    <row r="493">
      <c r="A493" s="2" t="n">
        <v>45784</v>
      </c>
      <c r="B493" t="n">
        <v>1277</v>
      </c>
      <c r="C493" t="n">
        <v>1215.2</v>
      </c>
      <c r="D493" t="n">
        <v>1304.3</v>
      </c>
      <c r="E493" s="5">
        <f>ABS(C493-B493)/B493</f>
        <v/>
      </c>
      <c r="F493" s="5">
        <f>ABS(D493-B493)/B493</f>
        <v/>
      </c>
      <c r="G493">
        <f>IF(E493&lt;F493,"model","official")</f>
        <v/>
      </c>
    </row>
    <row r="494">
      <c r="A494" s="2" t="n">
        <v>45785</v>
      </c>
      <c r="B494" t="n">
        <v>1263.72</v>
      </c>
      <c r="C494" t="n">
        <v>1201.86</v>
      </c>
      <c r="D494" t="n">
        <v>1339.51</v>
      </c>
      <c r="E494" s="5">
        <f>ABS(C494-B494)/B494</f>
        <v/>
      </c>
      <c r="F494" s="5">
        <f>ABS(D494-B494)/B494</f>
        <v/>
      </c>
      <c r="G494">
        <f>IF(E494&lt;F494,"model","official")</f>
        <v/>
      </c>
    </row>
    <row r="495">
      <c r="A495" s="2" t="n">
        <v>45786</v>
      </c>
      <c r="B495" t="n">
        <v>1237.72</v>
      </c>
      <c r="C495" t="n">
        <v>1195.24</v>
      </c>
      <c r="D495" t="n">
        <v>1307.52</v>
      </c>
      <c r="E495" s="5">
        <f>ABS(C495-B495)/B495</f>
        <v/>
      </c>
      <c r="F495" s="5">
        <f>ABS(D495-B495)/B495</f>
        <v/>
      </c>
      <c r="G495">
        <f>IF(E495&lt;F495,"model","official")</f>
        <v/>
      </c>
    </row>
    <row r="496">
      <c r="A496" s="2" t="n">
        <v>45787</v>
      </c>
      <c r="B496" t="n">
        <v>1044.52</v>
      </c>
      <c r="C496" t="n">
        <v>1069.61</v>
      </c>
      <c r="D496" t="n">
        <v>1115.21</v>
      </c>
      <c r="E496" s="5">
        <f>ABS(C496-B496)/B496</f>
        <v/>
      </c>
      <c r="F496" s="5">
        <f>ABS(D496-B496)/B496</f>
        <v/>
      </c>
      <c r="G496">
        <f>IF(E496&lt;F496,"model","official")</f>
        <v/>
      </c>
    </row>
    <row r="497">
      <c r="A497" s="2" t="n">
        <v>45788</v>
      </c>
      <c r="B497" t="n">
        <v>963.63</v>
      </c>
      <c r="C497" t="n">
        <v>1025.33</v>
      </c>
      <c r="D497" t="n">
        <v>1069.72</v>
      </c>
      <c r="E497" s="5">
        <f>ABS(C497-B497)/B497</f>
        <v/>
      </c>
      <c r="F497" s="5">
        <f>ABS(D497-B497)/B497</f>
        <v/>
      </c>
      <c r="G497">
        <f>IF(E497&lt;F497,"model","official")</f>
        <v/>
      </c>
    </row>
    <row r="498">
      <c r="A498" s="2" t="n">
        <v>45789</v>
      </c>
      <c r="B498" t="n">
        <v>1215.69</v>
      </c>
      <c r="C498" t="n">
        <v>1255.75</v>
      </c>
      <c r="D498" t="n">
        <v>1312.95</v>
      </c>
      <c r="E498" s="5">
        <f>ABS(C498-B498)/B498</f>
        <v/>
      </c>
      <c r="F498" s="5">
        <f>ABS(D498-B498)/B498</f>
        <v/>
      </c>
      <c r="G498">
        <f>IF(E498&lt;F498,"model","official")</f>
        <v/>
      </c>
    </row>
    <row r="499">
      <c r="A499" s="2" t="n">
        <v>45790</v>
      </c>
      <c r="B499" t="n">
        <v>1246.58</v>
      </c>
      <c r="C499" t="n">
        <v>1271.67</v>
      </c>
      <c r="D499" t="n">
        <v>1319.22</v>
      </c>
      <c r="E499" s="5">
        <f>ABS(C499-B499)/B499</f>
        <v/>
      </c>
      <c r="F499" s="5">
        <f>ABS(D499-B499)/B499</f>
        <v/>
      </c>
      <c r="G499">
        <f>IF(E499&lt;F499,"model","official")</f>
        <v/>
      </c>
    </row>
    <row r="500">
      <c r="A500" s="2" t="n">
        <v>45791</v>
      </c>
      <c r="B500" t="n">
        <v>1262.61</v>
      </c>
      <c r="C500" t="n">
        <v>1271.67</v>
      </c>
      <c r="D500" t="n">
        <v>1316.03</v>
      </c>
      <c r="E500" s="5">
        <f>ABS(C500-B500)/B500</f>
        <v/>
      </c>
      <c r="F500" s="5">
        <f>ABS(D500-B500)/B500</f>
        <v/>
      </c>
      <c r="G500">
        <f>IF(E500&lt;F500,"model","official")</f>
        <v/>
      </c>
    </row>
    <row r="501">
      <c r="A501" s="2" t="n">
        <v>45792</v>
      </c>
      <c r="B501" t="n">
        <v>1262.88</v>
      </c>
      <c r="C501" t="n">
        <v>1265.33</v>
      </c>
      <c r="D501" t="n">
        <v>1318.7</v>
      </c>
      <c r="E501" s="5">
        <f>ABS(C501-B501)/B501</f>
        <v/>
      </c>
      <c r="F501" s="5">
        <f>ABS(D501-B501)/B501</f>
        <v/>
      </c>
      <c r="G501">
        <f>IF(E501&lt;F501,"model","official")</f>
        <v/>
      </c>
    </row>
    <row r="502">
      <c r="A502" s="2" t="n">
        <v>45793</v>
      </c>
      <c r="B502" t="n">
        <v>1247.13</v>
      </c>
      <c r="C502" t="n">
        <v>1239.77</v>
      </c>
      <c r="D502" t="n">
        <v>1299.13</v>
      </c>
      <c r="E502" s="5">
        <f>ABS(C502-B502)/B502</f>
        <v/>
      </c>
      <c r="F502" s="5">
        <f>ABS(D502-B502)/B502</f>
        <v/>
      </c>
      <c r="G502">
        <f>IF(E502&lt;F502,"model","official")</f>
        <v/>
      </c>
    </row>
    <row r="503">
      <c r="A503" s="2" t="n">
        <v>45794</v>
      </c>
      <c r="B503" t="n">
        <v>1078.92</v>
      </c>
      <c r="C503" t="n">
        <v>1067.66</v>
      </c>
      <c r="D503" t="n">
        <v>1112.15</v>
      </c>
      <c r="E503" s="5">
        <f>ABS(C503-B503)/B503</f>
        <v/>
      </c>
      <c r="F503" s="5">
        <f>ABS(D503-B503)/B503</f>
        <v/>
      </c>
      <c r="G503">
        <f>IF(E503&lt;F503,"model","official")</f>
        <v/>
      </c>
    </row>
    <row r="504">
      <c r="A504" s="2" t="n">
        <v>45795</v>
      </c>
      <c r="B504" t="n">
        <v>1010.61</v>
      </c>
      <c r="C504" t="n">
        <v>1007.26</v>
      </c>
      <c r="D504" t="n">
        <v>1042.76</v>
      </c>
      <c r="E504" s="5">
        <f>ABS(C504-B504)/B504</f>
        <v/>
      </c>
      <c r="F504" s="5">
        <f>ABS(D504-B504)/B504</f>
        <v/>
      </c>
      <c r="G504">
        <f>IF(E504&lt;F504,"model","official")</f>
        <v/>
      </c>
    </row>
    <row r="505">
      <c r="A505" s="2" t="n">
        <v>45796</v>
      </c>
      <c r="B505" t="n">
        <v>1217.02</v>
      </c>
      <c r="C505" t="n">
        <v>1241.19</v>
      </c>
      <c r="D505" t="n">
        <v>1283.98</v>
      </c>
      <c r="E505" s="5">
        <f>ABS(C505-B505)/B505</f>
        <v/>
      </c>
      <c r="F505" s="5">
        <f>ABS(D505-B505)/B505</f>
        <v/>
      </c>
      <c r="G505">
        <f>IF(E505&lt;F505,"model","official")</f>
        <v/>
      </c>
    </row>
    <row r="506">
      <c r="A506" s="2" t="n">
        <v>45797</v>
      </c>
      <c r="B506" t="n">
        <v>1264.56</v>
      </c>
      <c r="C506" t="n">
        <v>1275.45</v>
      </c>
      <c r="D506" t="n">
        <v>1314.74</v>
      </c>
      <c r="E506" s="5">
        <f>ABS(C506-B506)/B506</f>
        <v/>
      </c>
      <c r="F506" s="5">
        <f>ABS(D506-B506)/B506</f>
        <v/>
      </c>
      <c r="G506">
        <f>IF(E506&lt;F506,"model","official")</f>
        <v/>
      </c>
    </row>
    <row r="507">
      <c r="A507" s="2" t="n">
        <v>45798</v>
      </c>
      <c r="B507" t="n">
        <v>1295.89</v>
      </c>
      <c r="C507" t="n">
        <v>1282.51</v>
      </c>
      <c r="D507" t="n">
        <v>1297.56</v>
      </c>
      <c r="E507" s="5">
        <f>ABS(C507-B507)/B507</f>
        <v/>
      </c>
      <c r="F507" s="5">
        <f>ABS(D507-B507)/B507</f>
        <v/>
      </c>
      <c r="G507">
        <f>IF(E507&lt;F507,"model","official")</f>
        <v/>
      </c>
    </row>
    <row r="508">
      <c r="A508" s="2" t="n">
        <v>45799</v>
      </c>
      <c r="B508" t="n">
        <v>1306.05</v>
      </c>
      <c r="C508" t="n">
        <v>1283.56</v>
      </c>
      <c r="D508" t="n">
        <v>1305.09</v>
      </c>
      <c r="E508" s="5">
        <f>ABS(C508-B508)/B508</f>
        <v/>
      </c>
      <c r="F508" s="5">
        <f>ABS(D508-B508)/B508</f>
        <v/>
      </c>
      <c r="G508">
        <f>IF(E508&lt;F508,"model","official")</f>
        <v/>
      </c>
    </row>
    <row r="509">
      <c r="A509" s="2" t="n">
        <v>45800</v>
      </c>
      <c r="B509" t="n">
        <v>1263.99</v>
      </c>
      <c r="C509" t="n">
        <v>1264.83</v>
      </c>
      <c r="D509" t="n">
        <v>1282.6</v>
      </c>
      <c r="E509" s="5">
        <f>ABS(C509-B509)/B509</f>
        <v/>
      </c>
      <c r="F509" s="5">
        <f>ABS(D509-B509)/B509</f>
        <v/>
      </c>
      <c r="G509">
        <f>IF(E509&lt;F509,"model","official")</f>
        <v/>
      </c>
    </row>
    <row r="510">
      <c r="A510" s="2" t="n">
        <v>45801</v>
      </c>
      <c r="B510" t="n">
        <v>1068.74</v>
      </c>
      <c r="C510" t="n">
        <v>1095.25</v>
      </c>
      <c r="D510" t="n">
        <v>1115.3</v>
      </c>
      <c r="E510" s="5">
        <f>ABS(C510-B510)/B510</f>
        <v/>
      </c>
      <c r="F510" s="5">
        <f>ABS(D510-B510)/B510</f>
        <v/>
      </c>
      <c r="G510">
        <f>IF(E510&lt;F510,"model","official")</f>
        <v/>
      </c>
    </row>
    <row r="511">
      <c r="A511" s="2" t="n">
        <v>45802</v>
      </c>
      <c r="B511" t="n">
        <v>1050.47</v>
      </c>
      <c r="C511" t="n">
        <v>1034.56</v>
      </c>
      <c r="D511" t="n">
        <v>1046.99</v>
      </c>
      <c r="E511" s="5">
        <f>ABS(C511-B511)/B511</f>
        <v/>
      </c>
      <c r="F511" s="5">
        <f>ABS(D511-B511)/B511</f>
        <v/>
      </c>
      <c r="G511">
        <f>IF(E511&lt;F511,"model","official")</f>
        <v/>
      </c>
    </row>
    <row r="512">
      <c r="A512" s="2" t="n">
        <v>45803</v>
      </c>
      <c r="B512" t="n">
        <v>1241.2</v>
      </c>
      <c r="C512" t="n">
        <v>1266.07</v>
      </c>
      <c r="D512" t="n">
        <v>1285.49</v>
      </c>
      <c r="E512" s="5">
        <f>ABS(C512-B512)/B512</f>
        <v/>
      </c>
      <c r="F512" s="5">
        <f>ABS(D512-B512)/B512</f>
        <v/>
      </c>
      <c r="G512">
        <f>IF(E512&lt;F512,"model","official")</f>
        <v/>
      </c>
    </row>
    <row r="513">
      <c r="A513" s="2" t="n">
        <v>45804</v>
      </c>
      <c r="B513" t="n">
        <v>1275.49</v>
      </c>
      <c r="C513" t="n">
        <v>1297.97</v>
      </c>
      <c r="D513" t="n">
        <v>1323.12</v>
      </c>
      <c r="E513" s="5">
        <f>ABS(C513-B513)/B513</f>
        <v/>
      </c>
      <c r="F513" s="5">
        <f>ABS(D513-B513)/B513</f>
        <v/>
      </c>
      <c r="G513">
        <f>IF(E513&lt;F513,"model","official")</f>
        <v/>
      </c>
    </row>
    <row r="514">
      <c r="A514" s="2" t="n">
        <v>45805</v>
      </c>
      <c r="B514" t="n">
        <v>1278.89</v>
      </c>
      <c r="C514" t="n">
        <v>1308.81</v>
      </c>
      <c r="D514" t="n">
        <v>1305.75</v>
      </c>
      <c r="E514" s="5">
        <f>ABS(C514-B514)/B514</f>
        <v/>
      </c>
      <c r="F514" s="5">
        <f>ABS(D514-B514)/B514</f>
        <v/>
      </c>
      <c r="G514">
        <f>IF(E514&lt;F514,"model","official")</f>
        <v/>
      </c>
    </row>
    <row r="515">
      <c r="A515" s="2" t="n">
        <v>45806</v>
      </c>
      <c r="B515" t="n">
        <v>1032.9</v>
      </c>
      <c r="C515" t="n">
        <v>1072.39</v>
      </c>
      <c r="D515" t="n">
        <v>1059.13</v>
      </c>
      <c r="E515" s="5">
        <f>ABS(C515-B515)/B515</f>
        <v/>
      </c>
      <c r="F515" s="5">
        <f>ABS(D515-B515)/B515</f>
        <v/>
      </c>
      <c r="G515">
        <f>IF(E515&lt;F515,"model","official")</f>
        <v/>
      </c>
    </row>
    <row r="516">
      <c r="A516" s="2" t="n">
        <v>45807</v>
      </c>
      <c r="B516" t="n">
        <v>1123.25</v>
      </c>
      <c r="C516" t="n">
        <v>1151.94</v>
      </c>
      <c r="D516" t="n">
        <v>1164.61</v>
      </c>
      <c r="E516" s="5">
        <f>ABS(C516-B516)/B516</f>
        <v/>
      </c>
      <c r="F516" s="5">
        <f>ABS(D516-B516)/B516</f>
        <v/>
      </c>
      <c r="G516">
        <f>IF(E516&lt;F516,"model","official")</f>
        <v/>
      </c>
    </row>
    <row r="517">
      <c r="A517" s="2" t="n">
        <v>45808</v>
      </c>
      <c r="B517" t="n">
        <v>1019.76</v>
      </c>
      <c r="C517" t="n">
        <v>1068.43</v>
      </c>
      <c r="D517" t="n">
        <v>1071.56</v>
      </c>
      <c r="E517" s="5">
        <f>ABS(C517-B517)/B517</f>
        <v/>
      </c>
      <c r="F517" s="5">
        <f>ABS(D517-B517)/B517</f>
        <v/>
      </c>
      <c r="G517">
        <f>IF(E517&lt;F517,"model","official")</f>
        <v/>
      </c>
    </row>
    <row r="518">
      <c r="A518" s="2" t="n">
        <v>45809</v>
      </c>
      <c r="B518" t="n">
        <v>991.52</v>
      </c>
      <c r="C518" t="n">
        <v>992.34</v>
      </c>
      <c r="D518" t="n">
        <v>1019.97</v>
      </c>
      <c r="E518" s="5">
        <f>ABS(C518-B518)/B518</f>
        <v/>
      </c>
      <c r="F518" s="5">
        <f>ABS(D518-B518)/B518</f>
        <v/>
      </c>
      <c r="G518">
        <f>IF(E518&lt;F518,"model","official")</f>
        <v/>
      </c>
    </row>
    <row r="519">
      <c r="A519" s="2" t="n">
        <v>45810</v>
      </c>
      <c r="B519" t="n">
        <v>1259.34</v>
      </c>
      <c r="C519" t="n">
        <v>1207.53</v>
      </c>
      <c r="D519" t="n">
        <v>1252.37</v>
      </c>
      <c r="E519" s="5">
        <f>ABS(C519-B519)/B519</f>
        <v/>
      </c>
      <c r="F519" s="5">
        <f>ABS(D519-B519)/B519</f>
        <v/>
      </c>
      <c r="G519">
        <f>IF(E519&lt;F519,"model","official")</f>
        <v/>
      </c>
    </row>
    <row r="520">
      <c r="A520" s="2" t="n">
        <v>45811</v>
      </c>
      <c r="B520" t="n">
        <v>1262.22</v>
      </c>
      <c r="C520" t="n">
        <v>1222.84</v>
      </c>
      <c r="D520" t="n">
        <v>1285.33</v>
      </c>
      <c r="E520" s="5">
        <f>ABS(C520-B520)/B520</f>
        <v/>
      </c>
      <c r="F520" s="5">
        <f>ABS(D520-B520)/B520</f>
        <v/>
      </c>
      <c r="G520">
        <f>IF(E520&lt;F520,"model","official")</f>
        <v/>
      </c>
    </row>
    <row r="521">
      <c r="A521" s="2" t="n">
        <v>45812</v>
      </c>
      <c r="B521" t="n">
        <v>1309.26</v>
      </c>
      <c r="C521" t="n">
        <v>1231.04</v>
      </c>
      <c r="D521" t="n">
        <v>1289.82</v>
      </c>
      <c r="E521" s="5">
        <f>ABS(C521-B521)/B521</f>
        <v/>
      </c>
      <c r="F521" s="5">
        <f>ABS(D521-B521)/B521</f>
        <v/>
      </c>
      <c r="G521">
        <f>IF(E521&lt;F521,"model","official")</f>
        <v/>
      </c>
    </row>
    <row r="522">
      <c r="A522" s="2" t="n">
        <v>45813</v>
      </c>
      <c r="B522" t="n">
        <v>1272.38</v>
      </c>
      <c r="C522" t="n">
        <v>1216.64</v>
      </c>
      <c r="D522" t="n">
        <v>1301.42</v>
      </c>
      <c r="E522" s="5">
        <f>ABS(C522-B522)/B522</f>
        <v/>
      </c>
      <c r="F522" s="5">
        <f>ABS(D522-B522)/B522</f>
        <v/>
      </c>
      <c r="G522">
        <f>IF(E522&lt;F522,"model","official")</f>
        <v/>
      </c>
    </row>
    <row r="523">
      <c r="A523" s="2" t="n">
        <v>45814</v>
      </c>
      <c r="B523" t="n">
        <v>1272.94</v>
      </c>
      <c r="C523" t="n">
        <v>1202.69</v>
      </c>
      <c r="D523" t="n">
        <v>1285.6</v>
      </c>
      <c r="E523" s="5">
        <f>ABS(C523-B523)/B523</f>
        <v/>
      </c>
      <c r="F523" s="5">
        <f>ABS(D523-B523)/B523</f>
        <v/>
      </c>
      <c r="G523">
        <f>IF(E523&lt;F523,"model","official")</f>
        <v/>
      </c>
    </row>
    <row r="524">
      <c r="A524" s="2" t="n">
        <v>45815</v>
      </c>
      <c r="B524" t="n">
        <v>1047.26</v>
      </c>
      <c r="C524" t="n">
        <v>1067.65</v>
      </c>
      <c r="D524" t="n">
        <v>1114.6</v>
      </c>
      <c r="E524" s="5">
        <f>ABS(C524-B524)/B524</f>
        <v/>
      </c>
      <c r="F524" s="5">
        <f>ABS(D524-B524)/B524</f>
        <v/>
      </c>
      <c r="G524">
        <f>IF(E524&lt;F524,"model","official")</f>
        <v/>
      </c>
    </row>
    <row r="525">
      <c r="A525" s="2" t="n">
        <v>45816</v>
      </c>
      <c r="B525" t="n">
        <v>968.15</v>
      </c>
      <c r="C525" t="n">
        <v>1025.17</v>
      </c>
      <c r="D525" t="n">
        <v>1005.77</v>
      </c>
      <c r="E525" s="5">
        <f>ABS(C525-B525)/B525</f>
        <v/>
      </c>
      <c r="F525" s="5">
        <f>ABS(D525-B525)/B525</f>
        <v/>
      </c>
      <c r="G525">
        <f>IF(E525&lt;F525,"model","official")</f>
        <v/>
      </c>
    </row>
    <row r="526">
      <c r="A526" s="2" t="n">
        <v>45817</v>
      </c>
      <c r="B526" t="n">
        <v>977.1799999999999</v>
      </c>
      <c r="C526" t="n">
        <v>1034.08</v>
      </c>
      <c r="D526" t="n">
        <v>1021.94</v>
      </c>
      <c r="E526" s="5">
        <f>ABS(C526-B526)/B526</f>
        <v/>
      </c>
      <c r="F526" s="5">
        <f>ABS(D526-B526)/B526</f>
        <v/>
      </c>
      <c r="G526">
        <f>IF(E526&lt;F526,"model","official")</f>
        <v/>
      </c>
    </row>
    <row r="527">
      <c r="A527" s="2" t="n">
        <v>45818</v>
      </c>
      <c r="B527" t="n">
        <v>1216.3</v>
      </c>
      <c r="C527" t="n">
        <v>1282.24</v>
      </c>
      <c r="D527" t="n">
        <v>1257.15</v>
      </c>
      <c r="E527" s="5">
        <f>ABS(C527-B527)/B527</f>
        <v/>
      </c>
      <c r="F527" s="5">
        <f>ABS(D527-B527)/B527</f>
        <v/>
      </c>
      <c r="G527">
        <f>IF(E527&lt;F527,"model","official")</f>
        <v/>
      </c>
    </row>
    <row r="528">
      <c r="A528" s="2" t="n">
        <v>45819</v>
      </c>
      <c r="B528" t="n">
        <v>1246.33</v>
      </c>
      <c r="C528" t="n">
        <v>1247.83</v>
      </c>
      <c r="D528" t="n">
        <v>1258.36</v>
      </c>
      <c r="E528" s="5">
        <f>ABS(C528-B528)/B528</f>
        <v/>
      </c>
      <c r="F528" s="5">
        <f>ABS(D528-B528)/B528</f>
        <v/>
      </c>
      <c r="G528">
        <f>IF(E528&lt;F528,"model","official")</f>
        <v/>
      </c>
    </row>
    <row r="529">
      <c r="A529" s="2" t="n">
        <v>45820</v>
      </c>
      <c r="B529" t="n">
        <v>1231.34</v>
      </c>
      <c r="C529" t="n">
        <v>1237.27</v>
      </c>
      <c r="D529" t="n">
        <v>1244.08</v>
      </c>
      <c r="E529" s="5">
        <f>ABS(C529-B529)/B529</f>
        <v/>
      </c>
      <c r="F529" s="5">
        <f>ABS(D529-B529)/B529</f>
        <v/>
      </c>
      <c r="G529">
        <f>IF(E529&lt;F529,"model","official")</f>
        <v/>
      </c>
    </row>
    <row r="530">
      <c r="A530" s="2" t="n">
        <v>45821</v>
      </c>
      <c r="B530" t="n">
        <v>1229.18</v>
      </c>
      <c r="C530" t="n">
        <v>1205.33</v>
      </c>
      <c r="D530" t="n">
        <v>1232.21</v>
      </c>
      <c r="E530" s="5">
        <f>ABS(C530-B530)/B530</f>
        <v/>
      </c>
      <c r="F530" s="5">
        <f>ABS(D530-B530)/B530</f>
        <v/>
      </c>
      <c r="G530">
        <f>IF(E530&lt;F530,"model","official")</f>
        <v/>
      </c>
    </row>
    <row r="531">
      <c r="A531" s="2" t="n">
        <v>45822</v>
      </c>
      <c r="B531" t="n">
        <v>1079.87</v>
      </c>
      <c r="C531" t="n">
        <v>1030.79</v>
      </c>
      <c r="D531" t="n">
        <v>1089.81</v>
      </c>
      <c r="E531" s="5">
        <f>ABS(C531-B531)/B531</f>
        <v/>
      </c>
      <c r="F531" s="5">
        <f>ABS(D531-B531)/B531</f>
        <v/>
      </c>
      <c r="G531">
        <f>IF(E531&lt;F531,"model","official")</f>
        <v/>
      </c>
    </row>
    <row r="532">
      <c r="A532" s="2" t="n">
        <v>45823</v>
      </c>
      <c r="B532" t="n">
        <v>1014.54</v>
      </c>
      <c r="C532" t="n">
        <v>965.6</v>
      </c>
      <c r="D532" t="n">
        <v>1057.74</v>
      </c>
      <c r="E532" s="5">
        <f>ABS(C532-B532)/B532</f>
        <v/>
      </c>
      <c r="F532" s="5">
        <f>ABS(D532-B532)/B532</f>
        <v/>
      </c>
      <c r="G532">
        <f>IF(E532&lt;F532,"model","official")</f>
        <v/>
      </c>
    </row>
    <row r="533">
      <c r="A533" s="2" t="n">
        <v>45824</v>
      </c>
      <c r="B533" t="n">
        <v>1256.01</v>
      </c>
      <c r="C533" t="n">
        <v>1178.82</v>
      </c>
      <c r="D533" t="n">
        <v>1259.99</v>
      </c>
      <c r="E533" s="5">
        <f>ABS(C533-B533)/B533</f>
        <v/>
      </c>
      <c r="F533" s="5">
        <f>ABS(D533-B533)/B533</f>
        <v/>
      </c>
      <c r="G533">
        <f>IF(E533&lt;F533,"model","official")</f>
        <v/>
      </c>
    </row>
    <row r="534">
      <c r="A534" s="2" t="n">
        <v>45825</v>
      </c>
      <c r="B534" t="n">
        <v>1255.32</v>
      </c>
      <c r="C534" t="n">
        <v>1218.42</v>
      </c>
      <c r="D534" t="n">
        <v>1260.18</v>
      </c>
      <c r="E534" s="5">
        <f>ABS(C534-B534)/B534</f>
        <v/>
      </c>
      <c r="F534" s="5">
        <f>ABS(D534-B534)/B534</f>
        <v/>
      </c>
      <c r="G534">
        <f>IF(E534&lt;F534,"model","official")</f>
        <v/>
      </c>
    </row>
    <row r="535">
      <c r="A535" s="2" t="n">
        <v>45826</v>
      </c>
      <c r="B535" t="n">
        <v>1254.66</v>
      </c>
      <c r="C535" t="n">
        <v>1266.6</v>
      </c>
      <c r="D535" t="n">
        <v>1253.57</v>
      </c>
      <c r="E535" s="5">
        <f>ABS(C535-B535)/B535</f>
        <v/>
      </c>
      <c r="F535" s="5">
        <f>ABS(D535-B535)/B535</f>
        <v/>
      </c>
      <c r="G535">
        <f>IF(E535&lt;F535,"model","official")</f>
        <v/>
      </c>
    </row>
    <row r="536">
      <c r="A536" s="2" t="n">
        <v>45827</v>
      </c>
      <c r="B536" t="n">
        <v>1116.81</v>
      </c>
      <c r="C536" t="n">
        <v>1132.16</v>
      </c>
      <c r="D536" t="n">
        <v>1096.09</v>
      </c>
      <c r="E536" s="5">
        <f>ABS(C536-B536)/B536</f>
        <v/>
      </c>
      <c r="F536" s="5">
        <f>ABS(D536-B536)/B536</f>
        <v/>
      </c>
      <c r="G536">
        <f>IF(E536&lt;F536,"model","official")</f>
        <v/>
      </c>
    </row>
    <row r="537">
      <c r="A537" s="2" t="n">
        <v>45828</v>
      </c>
      <c r="B537" t="n">
        <v>1128.2</v>
      </c>
      <c r="C537" t="n">
        <v>1246.37</v>
      </c>
      <c r="D537" t="n">
        <v>1141.55</v>
      </c>
      <c r="E537" s="5">
        <f>ABS(C537-B537)/B537</f>
        <v/>
      </c>
      <c r="F537" s="5">
        <f>ABS(D537-B537)/B537</f>
        <v/>
      </c>
      <c r="G537">
        <f>IF(E537&lt;F537,"model","official")</f>
        <v/>
      </c>
    </row>
    <row r="538">
      <c r="A538" s="2" t="n">
        <v>45829</v>
      </c>
      <c r="B538" t="n">
        <v>1024.15</v>
      </c>
      <c r="C538" t="n">
        <v>1058.82</v>
      </c>
      <c r="D538" t="n">
        <v>1053.16</v>
      </c>
      <c r="E538" s="5">
        <f>ABS(C538-B538)/B538</f>
        <v/>
      </c>
      <c r="F538" s="5">
        <f>ABS(D538-B538)/B538</f>
        <v/>
      </c>
      <c r="G538">
        <f>IF(E538&lt;F538,"model","official")</f>
        <v/>
      </c>
    </row>
    <row r="539">
      <c r="A539" s="2" t="n">
        <v>45830</v>
      </c>
      <c r="B539" t="n">
        <v>988.04</v>
      </c>
      <c r="C539" t="n">
        <v>986.76</v>
      </c>
      <c r="D539" t="n">
        <v>1052.51</v>
      </c>
      <c r="E539" s="5">
        <f>ABS(C539-B539)/B539</f>
        <v/>
      </c>
      <c r="F539" s="5">
        <f>ABS(D539-B539)/B539</f>
        <v/>
      </c>
      <c r="G539">
        <f>IF(E539&lt;F539,"model","official")</f>
        <v/>
      </c>
    </row>
    <row r="540">
      <c r="A540" s="2" t="n">
        <v>45831</v>
      </c>
      <c r="B540" t="n">
        <v>1291.4</v>
      </c>
      <c r="C540" t="n">
        <v>1200.55</v>
      </c>
      <c r="D540" t="n">
        <v>1266.04</v>
      </c>
      <c r="E540" s="5">
        <f>ABS(C540-B540)/B540</f>
        <v/>
      </c>
      <c r="F540" s="5">
        <f>ABS(D540-B540)/B540</f>
        <v/>
      </c>
      <c r="G540">
        <f>IF(E540&lt;F540,"model","official")</f>
        <v/>
      </c>
    </row>
    <row r="541">
      <c r="A541" s="2" t="n">
        <v>45832</v>
      </c>
      <c r="B541" t="n">
        <v>1291.53</v>
      </c>
      <c r="C541" t="n">
        <v>1218.79</v>
      </c>
      <c r="D541" t="n">
        <v>1268.9</v>
      </c>
      <c r="E541" s="5">
        <f>ABS(C541-B541)/B541</f>
        <v/>
      </c>
      <c r="F541" s="5">
        <f>ABS(D541-B541)/B541</f>
        <v/>
      </c>
      <c r="G541">
        <f>IF(E541&lt;F541,"model","official")</f>
        <v/>
      </c>
    </row>
    <row r="542">
      <c r="A542" s="2" t="n">
        <v>45833</v>
      </c>
      <c r="B542" t="n">
        <v>1297.16</v>
      </c>
      <c r="C542" t="n">
        <v>1229.89</v>
      </c>
      <c r="D542" t="n">
        <v>1291.73</v>
      </c>
      <c r="E542" s="5">
        <f>ABS(C542-B542)/B542</f>
        <v/>
      </c>
      <c r="F542" s="5">
        <f>ABS(D542-B542)/B542</f>
        <v/>
      </c>
      <c r="G542">
        <f>IF(E542&lt;F542,"model","official")</f>
        <v/>
      </c>
    </row>
    <row r="543">
      <c r="A543" s="2" t="n">
        <v>45834</v>
      </c>
      <c r="B543" t="n">
        <v>1309.34</v>
      </c>
      <c r="C543" t="n">
        <v>1226.04</v>
      </c>
      <c r="D543" t="n">
        <v>1303.37</v>
      </c>
      <c r="E543" s="5">
        <f>ABS(C543-B543)/B543</f>
        <v/>
      </c>
      <c r="F543" s="5">
        <f>ABS(D543-B543)/B543</f>
        <v/>
      </c>
      <c r="G543">
        <f>IF(E543&lt;F543,"model","official")</f>
        <v/>
      </c>
    </row>
    <row r="544">
      <c r="A544" s="2" t="n">
        <v>45835</v>
      </c>
      <c r="B544" t="n">
        <v>1299.28</v>
      </c>
      <c r="C544" t="n">
        <v>1210.27</v>
      </c>
      <c r="D544" t="n">
        <v>1272.41</v>
      </c>
      <c r="E544" s="5">
        <f>ABS(C544-B544)/B544</f>
        <v/>
      </c>
      <c r="F544" s="5">
        <f>ABS(D544-B544)/B544</f>
        <v/>
      </c>
      <c r="G544">
        <f>IF(E544&lt;F544,"model","official")</f>
        <v/>
      </c>
    </row>
    <row r="545">
      <c r="A545" s="2" t="n">
        <v>45836</v>
      </c>
      <c r="B545" t="n">
        <v>1093.23</v>
      </c>
      <c r="C545" t="n">
        <v>1066.97</v>
      </c>
      <c r="D545" t="n">
        <v>1071.76</v>
      </c>
      <c r="E545" s="5">
        <f>ABS(C545-B545)/B545</f>
        <v/>
      </c>
      <c r="F545" s="5">
        <f>ABS(D545-B545)/B545</f>
        <v/>
      </c>
      <c r="G545">
        <f>IF(E545&lt;F545,"model","official")</f>
        <v/>
      </c>
    </row>
    <row r="546">
      <c r="A546" s="2" t="n">
        <v>45837</v>
      </c>
      <c r="B546" t="n">
        <v>1040.36</v>
      </c>
      <c r="C546" t="n">
        <v>1027.17</v>
      </c>
      <c r="D546" t="n">
        <v>1046.02</v>
      </c>
      <c r="E546" s="5">
        <f>ABS(C546-B546)/B546</f>
        <v/>
      </c>
      <c r="F546" s="5">
        <f>ABS(D546-B546)/B546</f>
        <v/>
      </c>
      <c r="G546">
        <f>IF(E546&lt;F546,"model","official")</f>
        <v/>
      </c>
    </row>
    <row r="547">
      <c r="A547" s="2" t="n">
        <v>45838</v>
      </c>
      <c r="B547" t="n">
        <v>1255.05</v>
      </c>
      <c r="C547" t="n">
        <v>1270.66</v>
      </c>
      <c r="D547" t="n">
        <v>1268.24</v>
      </c>
      <c r="E547" s="5">
        <f>ABS(C547-B547)/B547</f>
        <v/>
      </c>
      <c r="F547" s="5">
        <f>ABS(D547-B547)/B547</f>
        <v/>
      </c>
      <c r="G547">
        <f>IF(E547&lt;F547,"model","official")</f>
        <v/>
      </c>
    </row>
    <row r="548">
      <c r="A548" s="2" t="n">
        <v>45839</v>
      </c>
      <c r="B548" t="n">
        <v>1307</v>
      </c>
      <c r="C548" t="n">
        <v>1301.71</v>
      </c>
      <c r="D548" t="n">
        <v>1282.17</v>
      </c>
      <c r="E548" s="5">
        <f>ABS(C548-B548)/B548</f>
        <v/>
      </c>
      <c r="F548" s="5">
        <f>ABS(D548-B548)/B548</f>
        <v/>
      </c>
      <c r="G548">
        <f>IF(E548&lt;F548,"model","official")</f>
        <v/>
      </c>
    </row>
    <row r="549">
      <c r="A549" s="2" t="n">
        <v>45840</v>
      </c>
      <c r="B549" t="n">
        <v>1334.77</v>
      </c>
      <c r="C549" t="n">
        <v>1303.06</v>
      </c>
      <c r="D549" t="n">
        <v>1300.39</v>
      </c>
      <c r="E549" s="5">
        <f>ABS(C549-B549)/B549</f>
        <v/>
      </c>
      <c r="F549" s="5">
        <f>ABS(D549-B549)/B549</f>
        <v/>
      </c>
      <c r="G549">
        <f>IF(E549&lt;F549,"model","official")</f>
        <v/>
      </c>
    </row>
    <row r="550">
      <c r="A550" s="2" t="n">
        <v>45841</v>
      </c>
      <c r="B550" t="n">
        <v>1337.49</v>
      </c>
      <c r="C550" t="n">
        <v>1302.41</v>
      </c>
      <c r="D550" t="n">
        <v>1288.41</v>
      </c>
      <c r="E550" s="5">
        <f>ABS(C550-B550)/B550</f>
        <v/>
      </c>
      <c r="F550" s="5">
        <f>ABS(D550-B550)/B550</f>
        <v/>
      </c>
      <c r="G550">
        <f>IF(E550&lt;F550,"model","official")</f>
        <v/>
      </c>
    </row>
    <row r="551">
      <c r="A551" s="2" t="n">
        <v>45842</v>
      </c>
      <c r="B551" t="n">
        <v>1264.04</v>
      </c>
      <c r="C551" t="n">
        <v>1283.73</v>
      </c>
      <c r="D551" t="n">
        <v>1298.47</v>
      </c>
      <c r="E551" s="5">
        <f>ABS(C551-B551)/B551</f>
        <v/>
      </c>
      <c r="F551" s="5">
        <f>ABS(D551-B551)/B551</f>
        <v/>
      </c>
      <c r="G551">
        <f>IF(E551&lt;F551,"model","official")</f>
        <v/>
      </c>
    </row>
    <row r="552">
      <c r="A552" s="2" t="n">
        <v>45843</v>
      </c>
      <c r="B552" t="n">
        <v>1085.14</v>
      </c>
      <c r="C552" t="n">
        <v>1106.73</v>
      </c>
      <c r="D552" t="n">
        <v>1102.49</v>
      </c>
      <c r="E552" s="5">
        <f>ABS(C552-B552)/B552</f>
        <v/>
      </c>
      <c r="F552" s="5">
        <f>ABS(D552-B552)/B552</f>
        <v/>
      </c>
      <c r="G552">
        <f>IF(E552&lt;F552,"model","official")</f>
        <v/>
      </c>
    </row>
    <row r="553">
      <c r="A553" s="2" t="n">
        <v>45844</v>
      </c>
      <c r="B553" t="n">
        <v>1029.46</v>
      </c>
      <c r="C553" t="n">
        <v>1040.31</v>
      </c>
      <c r="D553" t="n">
        <v>1080.83</v>
      </c>
      <c r="E553" s="5">
        <f>ABS(C553-B553)/B553</f>
        <v/>
      </c>
      <c r="F553" s="5">
        <f>ABS(D553-B553)/B553</f>
        <v/>
      </c>
      <c r="G553">
        <f>IF(E553&lt;F553,"model","official")</f>
        <v/>
      </c>
    </row>
    <row r="554">
      <c r="A554" s="2" t="n">
        <v>45845</v>
      </c>
      <c r="B554" t="n">
        <v>1272.02</v>
      </c>
      <c r="C554" t="n">
        <v>1271.75</v>
      </c>
      <c r="D554" t="n">
        <v>1290.65</v>
      </c>
      <c r="E554" s="5">
        <f>ABS(C554-B554)/B554</f>
        <v/>
      </c>
      <c r="F554" s="5">
        <f>ABS(D554-B554)/B554</f>
        <v/>
      </c>
      <c r="G554">
        <f>IF(E554&lt;F554,"model","official")</f>
        <v/>
      </c>
    </row>
    <row r="555">
      <c r="A555" s="2" t="n">
        <v>45846</v>
      </c>
      <c r="B555" t="n">
        <v>1272.61</v>
      </c>
      <c r="C555" t="n">
        <v>1295.96</v>
      </c>
      <c r="D555" t="n">
        <v>1322.1</v>
      </c>
      <c r="E555" s="5">
        <f>ABS(C555-B555)/B555</f>
        <v/>
      </c>
      <c r="F555" s="5">
        <f>ABS(D555-B555)/B555</f>
        <v/>
      </c>
      <c r="G555">
        <f>IF(E555&lt;F555,"model","official")</f>
        <v/>
      </c>
    </row>
    <row r="556">
      <c r="A556" s="2" t="n">
        <v>45847</v>
      </c>
      <c r="B556" t="n">
        <v>1256.38</v>
      </c>
      <c r="C556" t="n">
        <v>1306.08</v>
      </c>
      <c r="D556" t="n">
        <v>1283.47</v>
      </c>
      <c r="E556" s="5">
        <f>ABS(C556-B556)/B556</f>
        <v/>
      </c>
      <c r="F556" s="5">
        <f>ABS(D556-B556)/B556</f>
        <v/>
      </c>
      <c r="G556">
        <f>IF(E556&lt;F556,"model","official")</f>
        <v/>
      </c>
    </row>
    <row r="557">
      <c r="A557" s="2" t="n">
        <v>45848</v>
      </c>
      <c r="B557" t="n">
        <v>1238.4</v>
      </c>
      <c r="C557" t="n">
        <v>1297.98</v>
      </c>
      <c r="D557" t="n">
        <v>1275.44</v>
      </c>
      <c r="E557" s="5">
        <f>ABS(C557-B557)/B557</f>
        <v/>
      </c>
      <c r="F557" s="5">
        <f>ABS(D557-B557)/B557</f>
        <v/>
      </c>
      <c r="G557">
        <f>IF(E557&lt;F557,"model","official")</f>
        <v/>
      </c>
    </row>
    <row r="558">
      <c r="A558" s="2" t="n">
        <v>45849</v>
      </c>
      <c r="B558" t="n">
        <v>1252.05</v>
      </c>
      <c r="C558" t="n">
        <v>1260.52</v>
      </c>
      <c r="D558" t="n">
        <v>1273.39</v>
      </c>
      <c r="E558" s="5">
        <f>ABS(C558-B558)/B558</f>
        <v/>
      </c>
      <c r="F558" s="5">
        <f>ABS(D558-B558)/B558</f>
        <v/>
      </c>
      <c r="G558">
        <f>IF(E558&lt;F558,"model","official")</f>
        <v/>
      </c>
    </row>
    <row r="559">
      <c r="A559" s="2" t="n">
        <v>45850</v>
      </c>
      <c r="B559" t="n">
        <v>1076.17</v>
      </c>
      <c r="C559" t="n">
        <v>1072.28</v>
      </c>
      <c r="D559" t="n">
        <v>1097.18</v>
      </c>
      <c r="E559" s="5">
        <f>ABS(C559-B559)/B559</f>
        <v/>
      </c>
      <c r="F559" s="5">
        <f>ABS(D559-B559)/B559</f>
        <v/>
      </c>
      <c r="G559">
        <f>IF(E559&lt;F559,"model","official")</f>
        <v/>
      </c>
    </row>
    <row r="560">
      <c r="A560" s="2" t="n">
        <v>45851</v>
      </c>
      <c r="B560" t="n">
        <v>998.78</v>
      </c>
      <c r="C560" t="n">
        <v>1010.52</v>
      </c>
      <c r="D560" t="n">
        <v>1071.42</v>
      </c>
      <c r="E560" s="5">
        <f>ABS(C560-B560)/B560</f>
        <v/>
      </c>
      <c r="F560" s="5">
        <f>ABS(D560-B560)/B560</f>
        <v/>
      </c>
      <c r="G560">
        <f>IF(E560&lt;F560,"model","official")</f>
        <v/>
      </c>
    </row>
    <row r="561">
      <c r="A561" s="2" t="n">
        <v>45852</v>
      </c>
      <c r="B561" t="n">
        <v>1222.52</v>
      </c>
      <c r="C561" t="n">
        <v>1236.59</v>
      </c>
      <c r="D561" t="n">
        <v>1272.46</v>
      </c>
      <c r="E561" s="5">
        <f>ABS(C561-B561)/B561</f>
        <v/>
      </c>
      <c r="F561" s="5">
        <f>ABS(D561-B561)/B561</f>
        <v/>
      </c>
      <c r="G561">
        <f>IF(E561&lt;F561,"model","official")</f>
        <v/>
      </c>
    </row>
    <row r="562">
      <c r="A562" s="2" t="n">
        <v>45853</v>
      </c>
      <c r="B562" t="n">
        <v>1230.15</v>
      </c>
      <c r="C562" t="n">
        <v>1256.78</v>
      </c>
      <c r="D562" t="n">
        <v>1281.36</v>
      </c>
      <c r="E562" s="5">
        <f>ABS(C562-B562)/B562</f>
        <v/>
      </c>
      <c r="F562" s="5">
        <f>ABS(D562-B562)/B562</f>
        <v/>
      </c>
      <c r="G562">
        <f>IF(E562&lt;F562,"model","official")</f>
        <v/>
      </c>
    </row>
    <row r="563">
      <c r="A563" s="2" t="n">
        <v>45854</v>
      </c>
      <c r="B563" t="n">
        <v>1257.58</v>
      </c>
      <c r="C563" t="n">
        <v>1255.22</v>
      </c>
      <c r="D563" t="n">
        <v>1259.41</v>
      </c>
      <c r="E563" s="5">
        <f>ABS(C563-B563)/B563</f>
        <v/>
      </c>
      <c r="F563" s="5">
        <f>ABS(D563-B563)/B563</f>
        <v/>
      </c>
      <c r="G563">
        <f>IF(E563&lt;F563,"model","official")</f>
        <v/>
      </c>
    </row>
    <row r="564">
      <c r="A564" s="2" t="n">
        <v>45855</v>
      </c>
      <c r="B564" t="n">
        <v>1244.25</v>
      </c>
      <c r="C564" t="n">
        <v>1244.93</v>
      </c>
      <c r="D564" t="n">
        <v>1228.4</v>
      </c>
      <c r="E564" s="5">
        <f>ABS(C564-B564)/B564</f>
        <v/>
      </c>
      <c r="F564" s="5">
        <f>ABS(D564-B564)/B564</f>
        <v/>
      </c>
      <c r="G564">
        <f>IF(E564&lt;F564,"model","official")</f>
        <v/>
      </c>
    </row>
    <row r="565">
      <c r="A565" s="2" t="n">
        <v>45856</v>
      </c>
      <c r="B565" t="n">
        <v>1189.94</v>
      </c>
      <c r="C565" t="n">
        <v>1222.69</v>
      </c>
      <c r="D565" t="n">
        <v>1238.19</v>
      </c>
      <c r="E565" s="5">
        <f>ABS(C565-B565)/B565</f>
        <v/>
      </c>
      <c r="F565" s="5">
        <f>ABS(D565-B565)/B565</f>
        <v/>
      </c>
      <c r="G565">
        <f>IF(E565&lt;F565,"model","official")</f>
        <v/>
      </c>
    </row>
    <row r="566">
      <c r="A566" s="2" t="n">
        <v>45857</v>
      </c>
      <c r="B566" t="n">
        <v>1036.08</v>
      </c>
      <c r="C566" t="n">
        <v>1053.19</v>
      </c>
      <c r="D566" t="n">
        <v>1068.43</v>
      </c>
      <c r="E566" s="5">
        <f>ABS(C566-B566)/B566</f>
        <v/>
      </c>
      <c r="F566" s="5">
        <f>ABS(D566-B566)/B566</f>
        <v/>
      </c>
      <c r="G566">
        <f>IF(E566&lt;F566,"model","official")</f>
        <v/>
      </c>
    </row>
    <row r="567">
      <c r="A567" s="2" t="n">
        <v>45858</v>
      </c>
      <c r="B567" t="n">
        <v>986.85</v>
      </c>
      <c r="C567" t="n">
        <v>986.38</v>
      </c>
      <c r="D567" t="n">
        <v>1061.55</v>
      </c>
      <c r="E567" s="5">
        <f>ABS(C567-B567)/B567</f>
        <v/>
      </c>
      <c r="F567" s="5">
        <f>ABS(D567-B567)/B567</f>
        <v/>
      </c>
      <c r="G567">
        <f>IF(E567&lt;F567,"model","official")</f>
        <v/>
      </c>
    </row>
    <row r="568">
      <c r="A568" s="2" t="n">
        <v>45859</v>
      </c>
      <c r="B568" t="n">
        <v>1246.91</v>
      </c>
      <c r="C568" t="n">
        <v>1203.08</v>
      </c>
      <c r="D568" t="n">
        <v>1276.27</v>
      </c>
      <c r="E568" s="5">
        <f>ABS(C568-B568)/B568</f>
        <v/>
      </c>
      <c r="F568" s="5">
        <f>ABS(D568-B568)/B568</f>
        <v/>
      </c>
      <c r="G568">
        <f>IF(E568&lt;F568,"model","official")</f>
        <v/>
      </c>
    </row>
    <row r="569">
      <c r="A569" s="2" t="n">
        <v>45860</v>
      </c>
      <c r="B569" t="n">
        <v>1246.41</v>
      </c>
      <c r="C569" t="n">
        <v>1224.33</v>
      </c>
      <c r="D569" t="n">
        <v>1275.73</v>
      </c>
      <c r="E569" s="5">
        <f>ABS(C569-B569)/B569</f>
        <v/>
      </c>
      <c r="F569" s="5">
        <f>ABS(D569-B569)/B569</f>
        <v/>
      </c>
      <c r="G569">
        <f>IF(E569&lt;F569,"model","official")</f>
        <v/>
      </c>
    </row>
    <row r="570">
      <c r="A570" s="2" t="n">
        <v>45861</v>
      </c>
      <c r="B570" t="n">
        <v>1254.44</v>
      </c>
      <c r="C570" t="n">
        <v>1235.05</v>
      </c>
      <c r="D570" t="n">
        <v>1258.3</v>
      </c>
      <c r="E570" s="5">
        <f>ABS(C570-B570)/B570</f>
        <v/>
      </c>
      <c r="F570" s="5">
        <f>ABS(D570-B570)/B570</f>
        <v/>
      </c>
      <c r="G570">
        <f>IF(E570&lt;F570,"model","official")</f>
        <v/>
      </c>
    </row>
    <row r="571">
      <c r="A571" s="2" t="n">
        <v>45862</v>
      </c>
      <c r="B571" t="n">
        <v>1244.56</v>
      </c>
      <c r="C571" t="n">
        <v>1233.77</v>
      </c>
      <c r="D571" t="n">
        <v>1258.2</v>
      </c>
      <c r="E571" s="5">
        <f>ABS(C571-B571)/B571</f>
        <v/>
      </c>
      <c r="F571" s="5">
        <f>ABS(D571-B571)/B571</f>
        <v/>
      </c>
      <c r="G571">
        <f>IF(E571&lt;F571,"model","official")</f>
        <v/>
      </c>
    </row>
    <row r="572">
      <c r="A572" s="2" t="n">
        <v>45863</v>
      </c>
      <c r="B572" t="n">
        <v>1219.14</v>
      </c>
      <c r="C572" t="n">
        <v>1209.18</v>
      </c>
      <c r="D572" t="n">
        <v>1237.83</v>
      </c>
      <c r="E572" s="5">
        <f>ABS(C572-B572)/B572</f>
        <v/>
      </c>
      <c r="F572" s="5">
        <f>ABS(D572-B572)/B572</f>
        <v/>
      </c>
      <c r="G572">
        <f>IF(E572&lt;F572,"model","official")</f>
        <v/>
      </c>
    </row>
    <row r="573">
      <c r="A573" s="2" t="n">
        <v>45864</v>
      </c>
      <c r="B573" t="n">
        <v>1041.63</v>
      </c>
      <c r="C573" t="n">
        <v>1041.54</v>
      </c>
      <c r="D573" t="n">
        <v>1061.79</v>
      </c>
      <c r="E573" s="5">
        <f>ABS(C573-B573)/B573</f>
        <v/>
      </c>
      <c r="F573" s="5">
        <f>ABS(D573-B573)/B573</f>
        <v/>
      </c>
      <c r="G573">
        <f>IF(E573&lt;F573,"model","official")</f>
        <v/>
      </c>
    </row>
    <row r="574">
      <c r="A574" s="2" t="n">
        <v>45865</v>
      </c>
      <c r="B574" t="n">
        <v>972.4</v>
      </c>
      <c r="C574" t="n">
        <v>987.02</v>
      </c>
      <c r="D574" t="n">
        <v>1050.25</v>
      </c>
      <c r="E574" s="5">
        <f>ABS(C574-B574)/B574</f>
        <v/>
      </c>
      <c r="F574" s="5">
        <f>ABS(D574-B574)/B574</f>
        <v/>
      </c>
      <c r="G574">
        <f>IF(E574&lt;F574,"model","official")</f>
        <v/>
      </c>
    </row>
    <row r="575">
      <c r="A575" s="2" t="n">
        <v>45866</v>
      </c>
      <c r="B575" t="n">
        <v>1208.58</v>
      </c>
      <c r="C575" t="n">
        <v>1211.87</v>
      </c>
      <c r="D575" t="n">
        <v>1269.02</v>
      </c>
      <c r="E575" s="5">
        <f>ABS(C575-B575)/B575</f>
        <v/>
      </c>
      <c r="F575" s="5">
        <f>ABS(D575-B575)/B575</f>
        <v/>
      </c>
      <c r="G575">
        <f>IF(E575&lt;F575,"model","official")</f>
        <v/>
      </c>
    </row>
    <row r="576">
      <c r="A576" s="2" t="n">
        <v>45867</v>
      </c>
      <c r="B576" t="n">
        <v>1248.67</v>
      </c>
      <c r="C576" t="n">
        <v>1232.92</v>
      </c>
      <c r="D576" t="n">
        <v>1266.39</v>
      </c>
      <c r="E576" s="5">
        <f>ABS(C576-B576)/B576</f>
        <v/>
      </c>
      <c r="F576" s="5">
        <f>ABS(D576-B576)/B576</f>
        <v/>
      </c>
      <c r="G576">
        <f>IF(E576&lt;F576,"model","official")</f>
        <v/>
      </c>
    </row>
    <row r="577">
      <c r="A577" s="2" t="n">
        <v>45868</v>
      </c>
      <c r="B577" t="n">
        <v>1233.73</v>
      </c>
      <c r="C577" t="n">
        <v>1234.18</v>
      </c>
      <c r="D577" t="n">
        <v>1245.94</v>
      </c>
      <c r="E577" s="5">
        <f>ABS(C577-B577)/B577</f>
        <v/>
      </c>
      <c r="F577" s="5">
        <f>ABS(D577-B577)/B577</f>
        <v/>
      </c>
      <c r="G577">
        <f>IF(E577&lt;F577,"model","official")</f>
        <v/>
      </c>
    </row>
    <row r="578">
      <c r="A578" s="2" t="n">
        <v>45869</v>
      </c>
      <c r="B578" t="n">
        <v>1227.63</v>
      </c>
      <c r="C578" t="n">
        <v>1231.24</v>
      </c>
      <c r="D578" t="n">
        <v>1263.72</v>
      </c>
      <c r="E578" s="5">
        <f>ABS(C578-B578)/B578</f>
        <v/>
      </c>
      <c r="F578" s="5">
        <f>ABS(D578-B578)/B578</f>
        <v/>
      </c>
      <c r="G578">
        <f>IF(E578&lt;F578,"model","official")</f>
        <v/>
      </c>
    </row>
    <row r="579">
      <c r="A579" s="2" t="n">
        <v>45870</v>
      </c>
      <c r="B579" t="n">
        <v>1188.03</v>
      </c>
      <c r="C579" t="n">
        <v>1205.39</v>
      </c>
      <c r="D579" t="n">
        <v>1238.93</v>
      </c>
      <c r="E579" s="5">
        <f>ABS(C579-B579)/B579</f>
        <v/>
      </c>
      <c r="F579" s="5">
        <f>ABS(D579-B579)/B579</f>
        <v/>
      </c>
      <c r="G579">
        <f>IF(E579&lt;F579,"model","official")</f>
        <v/>
      </c>
    </row>
    <row r="580">
      <c r="A580" s="2" t="n">
        <v>45871</v>
      </c>
      <c r="B580" t="n">
        <v>1020.38</v>
      </c>
      <c r="C580" t="n">
        <v>1035.73</v>
      </c>
      <c r="D580" t="n">
        <v>1078</v>
      </c>
      <c r="E580" s="5">
        <f>ABS(C580-B580)/B580</f>
        <v/>
      </c>
      <c r="F580" s="5">
        <f>ABS(D580-B580)/B580</f>
        <v/>
      </c>
      <c r="G580">
        <f>IF(E580&lt;F580,"model","official")</f>
        <v/>
      </c>
    </row>
    <row r="581">
      <c r="A581" s="2" t="n">
        <v>45872</v>
      </c>
      <c r="B581" t="n">
        <v>969.23</v>
      </c>
      <c r="C581" t="n">
        <v>974.1</v>
      </c>
      <c r="D581" t="n">
        <v>1046.14</v>
      </c>
      <c r="E581" s="5">
        <f>ABS(C581-B581)/B581</f>
        <v/>
      </c>
      <c r="F581" s="5">
        <f>ABS(D581-B581)/B581</f>
        <v/>
      </c>
      <c r="G581">
        <f>IF(E581&lt;F581,"model","official")</f>
        <v/>
      </c>
    </row>
    <row r="582">
      <c r="A582" s="2" t="n">
        <v>45873</v>
      </c>
      <c r="B582" t="n">
        <v>1186.27</v>
      </c>
      <c r="C582" t="n">
        <v>1191.81</v>
      </c>
      <c r="D582" t="n">
        <v>1246.79</v>
      </c>
      <c r="E582" s="5">
        <f>ABS(C582-B582)/B582</f>
        <v/>
      </c>
      <c r="F582" s="5">
        <f>ABS(D582-B582)/B582</f>
        <v/>
      </c>
      <c r="G582">
        <f>IF(E582&lt;F582,"model","official")</f>
        <v/>
      </c>
    </row>
    <row r="583">
      <c r="A583" s="2" t="n">
        <v>45874</v>
      </c>
      <c r="B583" t="n">
        <v>1226.28</v>
      </c>
      <c r="C583" t="n">
        <v>1215.66</v>
      </c>
      <c r="D583" t="n">
        <v>1238.55</v>
      </c>
      <c r="E583" s="5">
        <f>ABS(C583-B583)/B583</f>
        <v/>
      </c>
      <c r="F583" s="5">
        <f>ABS(D583-B583)/B583</f>
        <v/>
      </c>
      <c r="G583">
        <f>IF(E583&lt;F583,"model","official")</f>
        <v/>
      </c>
    </row>
    <row r="584">
      <c r="A584" s="2" t="n">
        <v>45875</v>
      </c>
      <c r="B584" t="n">
        <v>1208.95</v>
      </c>
      <c r="C584" t="n">
        <v>1218.66</v>
      </c>
      <c r="D584" t="n">
        <v>1213.76</v>
      </c>
      <c r="E584" s="5">
        <f>ABS(C584-B584)/B584</f>
        <v/>
      </c>
      <c r="F584" s="5">
        <f>ABS(D584-B584)/B584</f>
        <v/>
      </c>
      <c r="G584">
        <f>IF(E584&lt;F584,"model","official")</f>
        <v/>
      </c>
    </row>
    <row r="585">
      <c r="A585" s="2" t="n">
        <v>45876</v>
      </c>
      <c r="B585" t="n">
        <v>1191.21</v>
      </c>
      <c r="C585" t="n">
        <v>1212.53</v>
      </c>
      <c r="D585" t="n">
        <v>1226</v>
      </c>
      <c r="E585" s="5">
        <f>ABS(C585-B585)/B585</f>
        <v/>
      </c>
      <c r="F585" s="5">
        <f>ABS(D585-B585)/B585</f>
        <v/>
      </c>
      <c r="G585">
        <f>IF(E585&lt;F585,"model","official")</f>
        <v/>
      </c>
    </row>
    <row r="586">
      <c r="A586" s="2" t="n">
        <v>45877</v>
      </c>
      <c r="B586" t="n">
        <v>1177.65</v>
      </c>
      <c r="C586" t="n">
        <v>1186.19</v>
      </c>
      <c r="D586" t="n">
        <v>1227.99</v>
      </c>
      <c r="E586" s="5">
        <f>ABS(C586-B586)/B586</f>
        <v/>
      </c>
      <c r="F586" s="5">
        <f>ABS(D586-B586)/B586</f>
        <v/>
      </c>
      <c r="G586">
        <f>IF(E586&lt;F586,"model","official")</f>
        <v/>
      </c>
    </row>
    <row r="587">
      <c r="A587" s="2" t="n">
        <v>45878</v>
      </c>
      <c r="B587" t="n">
        <v>1012.71</v>
      </c>
      <c r="C587" t="n">
        <v>1017.16</v>
      </c>
      <c r="D587" t="n">
        <v>1049.8</v>
      </c>
      <c r="E587" s="5">
        <f>ABS(C587-B587)/B587</f>
        <v/>
      </c>
      <c r="F587" s="5">
        <f>ABS(D587-B587)/B587</f>
        <v/>
      </c>
      <c r="G587">
        <f>IF(E587&lt;F587,"model","official")</f>
        <v/>
      </c>
    </row>
    <row r="588">
      <c r="A588" s="2" t="n">
        <v>45879</v>
      </c>
      <c r="B588" t="n">
        <v>952.55</v>
      </c>
      <c r="C588" t="n">
        <v>959.6799999999999</v>
      </c>
      <c r="D588" t="n">
        <v>1032.63</v>
      </c>
      <c r="E588" s="5">
        <f>ABS(C588-B588)/B588</f>
        <v/>
      </c>
      <c r="F588" s="5">
        <f>ABS(D588-B588)/B588</f>
        <v/>
      </c>
      <c r="G588">
        <f>IF(E588&lt;F588,"model","official")</f>
        <v/>
      </c>
    </row>
    <row r="589">
      <c r="A589" s="2" t="n">
        <v>45880</v>
      </c>
      <c r="B589" t="n">
        <v>1142.49</v>
      </c>
      <c r="C589" t="n">
        <v>1175.67</v>
      </c>
      <c r="D589" t="n">
        <v>1221.53</v>
      </c>
      <c r="E589" s="5">
        <f>ABS(C589-B589)/B589</f>
        <v/>
      </c>
      <c r="F589" s="5">
        <f>ABS(D589-B589)/B589</f>
        <v/>
      </c>
      <c r="G589">
        <f>IF(E589&lt;F589,"model","official")</f>
        <v/>
      </c>
    </row>
    <row r="590">
      <c r="A590" s="2" t="n">
        <v>45881</v>
      </c>
      <c r="B590" t="n">
        <v>1193.07</v>
      </c>
      <c r="C590" t="n">
        <v>1197.66</v>
      </c>
      <c r="D590" t="n">
        <v>1236.81</v>
      </c>
      <c r="E590" s="5">
        <f>ABS(C590-B590)/B590</f>
        <v/>
      </c>
      <c r="F590" s="5">
        <f>ABS(D590-B590)/B590</f>
        <v/>
      </c>
      <c r="G590">
        <f>IF(E590&lt;F590,"model","official")</f>
        <v/>
      </c>
    </row>
    <row r="591">
      <c r="A591" s="2" t="n">
        <v>45882</v>
      </c>
      <c r="B591" t="n">
        <v>1233.36</v>
      </c>
      <c r="C591" t="n">
        <v>1197.31</v>
      </c>
      <c r="D591" t="n">
        <v>1222.8</v>
      </c>
      <c r="E591" s="5">
        <f>ABS(C591-B591)/B591</f>
        <v/>
      </c>
      <c r="F591" s="5">
        <f>ABS(D591-B591)/B591</f>
        <v/>
      </c>
      <c r="G591">
        <f>IF(E591&lt;F591,"model","official")</f>
        <v/>
      </c>
    </row>
    <row r="592">
      <c r="A592" s="2" t="n">
        <v>45883</v>
      </c>
      <c r="B592" t="n">
        <v>1260.04</v>
      </c>
      <c r="C592" t="n">
        <v>1189.24</v>
      </c>
      <c r="D592" t="n">
        <v>1225.83</v>
      </c>
      <c r="E592" s="5">
        <f>ABS(C592-B592)/B592</f>
        <v/>
      </c>
      <c r="F592" s="5">
        <f>ABS(D592-B592)/B592</f>
        <v/>
      </c>
      <c r="G592">
        <f>IF(E592&lt;F592,"model","official")</f>
        <v/>
      </c>
    </row>
    <row r="593">
      <c r="A593" s="2" t="n">
        <v>45884</v>
      </c>
      <c r="B593" t="n">
        <v>1215.54</v>
      </c>
      <c r="C593" t="n">
        <v>1171.25</v>
      </c>
      <c r="D593" t="n">
        <v>1185.3</v>
      </c>
      <c r="E593" s="5">
        <f>ABS(C593-B593)/B593</f>
        <v/>
      </c>
      <c r="F593" s="5">
        <f>ABS(D593-B593)/B593</f>
        <v/>
      </c>
      <c r="G593">
        <f>IF(E593&lt;F593,"model","official")</f>
        <v/>
      </c>
    </row>
    <row r="594">
      <c r="A594" s="2" t="n">
        <v>45885</v>
      </c>
      <c r="B594" t="n">
        <v>1075.93</v>
      </c>
      <c r="C594" t="n">
        <v>1017.68</v>
      </c>
      <c r="D594" t="n">
        <v>1080.99</v>
      </c>
      <c r="E594" s="5">
        <f>ABS(C594-B594)/B594</f>
        <v/>
      </c>
      <c r="F594" s="5">
        <f>ABS(D594-B594)/B594</f>
        <v/>
      </c>
      <c r="G594">
        <f>IF(E594&lt;F594,"model","official")</f>
        <v/>
      </c>
    </row>
    <row r="595">
      <c r="A595" s="2" t="n">
        <v>45886</v>
      </c>
      <c r="B595" t="n">
        <v>962.77</v>
      </c>
      <c r="C595" t="n">
        <v>965.9</v>
      </c>
      <c r="D595" t="n">
        <v>1035.17</v>
      </c>
      <c r="E595" s="5">
        <f>ABS(C595-B595)/B595</f>
        <v/>
      </c>
      <c r="F595" s="5">
        <f>ABS(D595-B595)/B595</f>
        <v/>
      </c>
      <c r="G595">
        <f>IF(E595&lt;F595,"model","official")</f>
        <v/>
      </c>
    </row>
    <row r="596">
      <c r="A596" s="2" t="n">
        <v>45887</v>
      </c>
      <c r="B596" t="n">
        <v>1158.3</v>
      </c>
      <c r="C596" t="n">
        <v>1192.64</v>
      </c>
      <c r="D596" t="n">
        <v>1216.58</v>
      </c>
      <c r="E596" s="5">
        <f>ABS(C596-B596)/B596</f>
        <v/>
      </c>
      <c r="F596" s="5">
        <f>ABS(D596-B596)/B596</f>
        <v/>
      </c>
      <c r="G596">
        <f>IF(E596&lt;F596,"model","official")</f>
        <v/>
      </c>
    </row>
    <row r="597">
      <c r="A597" s="2" t="n">
        <v>45888</v>
      </c>
      <c r="B597" t="n">
        <v>1202.99</v>
      </c>
      <c r="C597" t="n">
        <v>1219.34</v>
      </c>
      <c r="D597" t="n">
        <v>1257.83</v>
      </c>
      <c r="E597" s="5">
        <f>ABS(C597-B597)/B597</f>
        <v/>
      </c>
      <c r="F597" s="5">
        <f>ABS(D597-B597)/B597</f>
        <v/>
      </c>
      <c r="G597">
        <f>IF(E597&lt;F597,"model","official")</f>
        <v/>
      </c>
    </row>
    <row r="598">
      <c r="A598" s="2" t="n">
        <v>45889</v>
      </c>
      <c r="B598" t="n">
        <v>1224.38</v>
      </c>
      <c r="C598" t="n">
        <v>1229.88</v>
      </c>
      <c r="D598" t="n">
        <v>1242.17</v>
      </c>
      <c r="E598" s="5">
        <f>ABS(C598-B598)/B598</f>
        <v/>
      </c>
      <c r="F598" s="5">
        <f>ABS(D598-B598)/B598</f>
        <v/>
      </c>
      <c r="G598">
        <f>IF(E598&lt;F598,"model","official")</f>
        <v/>
      </c>
    </row>
    <row r="599">
      <c r="A599" s="2" t="n">
        <v>45890</v>
      </c>
      <c r="B599" t="n">
        <v>1232.37</v>
      </c>
      <c r="C599" t="n">
        <v>1229.6</v>
      </c>
      <c r="D599" t="n">
        <v>1243.44</v>
      </c>
      <c r="E599" s="5">
        <f>ABS(C599-B599)/B599</f>
        <v/>
      </c>
      <c r="F599" s="5">
        <f>ABS(D599-B599)/B599</f>
        <v/>
      </c>
      <c r="G599">
        <f>IF(E599&lt;F599,"model","official")</f>
        <v/>
      </c>
    </row>
    <row r="600">
      <c r="A600" s="2" t="n">
        <v>45891</v>
      </c>
      <c r="B600" t="n">
        <v>1218.55</v>
      </c>
      <c r="C600" t="n">
        <v>1205.22</v>
      </c>
      <c r="D600" t="n">
        <v>1227.49</v>
      </c>
      <c r="E600" s="5">
        <f>ABS(C600-B600)/B600</f>
        <v/>
      </c>
      <c r="F600" s="5">
        <f>ABS(D600-B600)/B600</f>
        <v/>
      </c>
      <c r="G600">
        <f>IF(E600&lt;F600,"model","official")</f>
        <v/>
      </c>
    </row>
    <row r="601">
      <c r="A601" s="2" t="n">
        <v>45892</v>
      </c>
      <c r="B601" t="n">
        <v>1051.71</v>
      </c>
      <c r="C601" t="n">
        <v>1036.09</v>
      </c>
      <c r="D601" t="n">
        <v>1073.24</v>
      </c>
      <c r="E601" s="5">
        <f>ABS(C601-B601)/B601</f>
        <v/>
      </c>
      <c r="F601" s="5">
        <f>ABS(D601-B601)/B601</f>
        <v/>
      </c>
      <c r="G601">
        <f>IF(E601&lt;F601,"model","official")</f>
        <v/>
      </c>
    </row>
    <row r="602">
      <c r="A602" s="2" t="n">
        <v>45893</v>
      </c>
      <c r="B602" t="n">
        <v>967.27</v>
      </c>
      <c r="C602" t="n">
        <v>977.6799999999999</v>
      </c>
      <c r="D602" t="n">
        <v>1031.44</v>
      </c>
      <c r="E602" s="5">
        <f>ABS(C602-B602)/B602</f>
        <v/>
      </c>
      <c r="F602" s="5">
        <f>ABS(D602-B602)/B602</f>
        <v/>
      </c>
      <c r="G602">
        <f>IF(E602&lt;F602,"model","official")</f>
        <v/>
      </c>
    </row>
    <row r="603">
      <c r="A603" s="2" t="n">
        <v>45894</v>
      </c>
      <c r="B603" t="n">
        <v>1180.21</v>
      </c>
      <c r="C603" t="n">
        <v>1194.76</v>
      </c>
      <c r="D603" t="n">
        <v>1229.32</v>
      </c>
      <c r="E603" s="5">
        <f>ABS(C603-B603)/B603</f>
        <v/>
      </c>
      <c r="F603" s="5">
        <f>ABS(D603-B603)/B603</f>
        <v/>
      </c>
      <c r="G603">
        <f>IF(E603&lt;F603,"model","official")</f>
        <v/>
      </c>
    </row>
    <row r="604">
      <c r="A604" s="2" t="n">
        <v>45895</v>
      </c>
      <c r="B604" t="n">
        <v>1203.11</v>
      </c>
      <c r="C604" t="n">
        <v>1220.51</v>
      </c>
      <c r="D604" t="n">
        <v>1247.73</v>
      </c>
      <c r="E604" s="5">
        <f>ABS(C604-B604)/B604</f>
        <v/>
      </c>
      <c r="F604" s="5">
        <f>ABS(D604-B604)/B604</f>
        <v/>
      </c>
      <c r="G604">
        <f>IF(E604&lt;F604,"model","official")</f>
        <v/>
      </c>
    </row>
    <row r="605">
      <c r="A605" s="2" t="n">
        <v>45896</v>
      </c>
      <c r="B605" t="n">
        <v>1243.45</v>
      </c>
      <c r="C605" t="n">
        <v>1231.38</v>
      </c>
      <c r="D605" t="n">
        <v>1259.23</v>
      </c>
      <c r="E605" s="5">
        <f>ABS(C605-B605)/B605</f>
        <v/>
      </c>
      <c r="F605" s="5">
        <f>ABS(D605-B605)/B605</f>
        <v/>
      </c>
      <c r="G605">
        <f>IF(E605&lt;F605,"model","official")</f>
        <v/>
      </c>
    </row>
    <row r="606">
      <c r="A606" s="2" t="n">
        <v>45897</v>
      </c>
      <c r="B606" t="n">
        <v>1267.29</v>
      </c>
      <c r="C606" t="n">
        <v>1229.1</v>
      </c>
      <c r="D606" t="n">
        <v>1261.92</v>
      </c>
      <c r="E606" s="5">
        <f>ABS(C606-B606)/B606</f>
        <v/>
      </c>
      <c r="F606" s="5">
        <f>ABS(D606-B606)/B606</f>
        <v/>
      </c>
      <c r="G606">
        <f>IF(E606&lt;F606,"model","official")</f>
        <v/>
      </c>
    </row>
    <row r="607">
      <c r="A607" s="2" t="n">
        <v>45898</v>
      </c>
      <c r="B607" t="n">
        <v>1210.58</v>
      </c>
      <c r="C607" t="n">
        <v>1209.78</v>
      </c>
      <c r="D607" t="n">
        <v>1245.37</v>
      </c>
      <c r="E607" s="5">
        <f>ABS(C607-B607)/B607</f>
        <v/>
      </c>
      <c r="F607" s="5">
        <f>ABS(D607-B607)/B607</f>
        <v/>
      </c>
      <c r="G607">
        <f>IF(E607&lt;F607,"model","official")</f>
        <v/>
      </c>
    </row>
    <row r="608">
      <c r="A608" s="2" t="n">
        <v>45899</v>
      </c>
      <c r="B608" t="n">
        <v>1027.47</v>
      </c>
      <c r="C608" t="n">
        <v>1046.94</v>
      </c>
      <c r="D608" t="n">
        <v>1084.97</v>
      </c>
      <c r="E608" s="5">
        <f>ABS(C608-B608)/B608</f>
        <v/>
      </c>
      <c r="F608" s="5">
        <f>ABS(D608-B608)/B608</f>
        <v/>
      </c>
      <c r="G608">
        <f>IF(E608&lt;F608,"model","official")</f>
        <v/>
      </c>
    </row>
    <row r="609">
      <c r="A609" s="2" t="n">
        <v>45900</v>
      </c>
      <c r="B609" t="n">
        <v>969.3099999999999</v>
      </c>
      <c r="C609" t="n">
        <v>987.53</v>
      </c>
      <c r="D609" t="n">
        <v>1059.31</v>
      </c>
      <c r="E609" s="5">
        <f>ABS(C609-B609)/B609</f>
        <v/>
      </c>
      <c r="F609" s="5">
        <f>ABS(D609-B609)/B609</f>
        <v/>
      </c>
      <c r="G609">
        <f>IF(E609&lt;F609,"model","official")</f>
        <v/>
      </c>
    </row>
    <row r="610">
      <c r="A610" s="2" t="n">
        <v>45901</v>
      </c>
      <c r="B610" t="n">
        <v>1232.17</v>
      </c>
      <c r="C610" t="n">
        <v>1207.37</v>
      </c>
      <c r="D610" t="n">
        <v>1246.47</v>
      </c>
      <c r="E610" s="5">
        <f>ABS(C610-B610)/B610</f>
        <v/>
      </c>
      <c r="F610" s="5">
        <f>ABS(D610-B610)/B610</f>
        <v/>
      </c>
      <c r="G610">
        <f>IF(E610&lt;F610,"model","official")</f>
        <v/>
      </c>
    </row>
    <row r="611">
      <c r="A611" s="2" t="n">
        <v>45902</v>
      </c>
      <c r="B611" t="n">
        <v>1248.63</v>
      </c>
      <c r="C611" t="n">
        <v>1232.25</v>
      </c>
      <c r="D611" t="n">
        <v>1265.74</v>
      </c>
      <c r="E611" s="5">
        <f>ABS(C611-B611)/B611</f>
        <v/>
      </c>
      <c r="F611" s="5">
        <f>ABS(D611-B611)/B611</f>
        <v/>
      </c>
      <c r="G611">
        <f>IF(E611&lt;F611,"model","official")</f>
        <v/>
      </c>
    </row>
    <row r="612">
      <c r="A612" s="2" t="n">
        <v>45903</v>
      </c>
      <c r="B612" t="n">
        <v>1278.67</v>
      </c>
      <c r="C612" t="n">
        <v>1248.26</v>
      </c>
      <c r="D612" t="n">
        <v>1271.48</v>
      </c>
      <c r="E612" s="5">
        <f>ABS(C612-B612)/B612</f>
        <v/>
      </c>
      <c r="F612" s="5">
        <f>ABS(D612-B612)/B612</f>
        <v/>
      </c>
      <c r="G612">
        <f>IF(E612&lt;F612,"model","official")</f>
        <v/>
      </c>
    </row>
    <row r="613">
      <c r="A613" s="2" t="n">
        <v>45904</v>
      </c>
      <c r="B613" t="n">
        <v>1276.1</v>
      </c>
      <c r="C613" t="n">
        <v>1253.13</v>
      </c>
      <c r="D613" t="n">
        <v>1283.4</v>
      </c>
      <c r="E613" s="5">
        <f>ABS(C613-B613)/B613</f>
        <v/>
      </c>
      <c r="F613" s="5">
        <f>ABS(D613-B613)/B613</f>
        <v/>
      </c>
      <c r="G613">
        <f>IF(E613&lt;F613,"model","official")</f>
        <v/>
      </c>
    </row>
    <row r="614">
      <c r="A614" s="2" t="n">
        <v>45905</v>
      </c>
      <c r="B614" t="n">
        <v>1235.64</v>
      </c>
      <c r="C614" t="n">
        <v>1234.28</v>
      </c>
      <c r="D614" t="n">
        <v>1268.67</v>
      </c>
      <c r="E614" s="5">
        <f>ABS(C614-B614)/B614</f>
        <v/>
      </c>
      <c r="F614" s="5">
        <f>ABS(D614-B614)/B614</f>
        <v/>
      </c>
      <c r="G614">
        <f>IF(E614&lt;F614,"model","official")</f>
        <v/>
      </c>
    </row>
    <row r="615">
      <c r="A615" s="2" t="n">
        <v>45906</v>
      </c>
      <c r="B615" t="n">
        <v>1016.69</v>
      </c>
      <c r="C615" t="n">
        <v>1064.17</v>
      </c>
      <c r="D615" t="n">
        <v>1078.9</v>
      </c>
      <c r="E615" s="5">
        <f>ABS(C615-B615)/B615</f>
        <v/>
      </c>
      <c r="F615" s="5">
        <f>ABS(D615-B615)/B615</f>
        <v/>
      </c>
      <c r="G615">
        <f>IF(E615&lt;F615,"model","official")</f>
        <v/>
      </c>
    </row>
    <row r="616">
      <c r="A616" s="2" t="n">
        <v>45907</v>
      </c>
      <c r="B616" t="n">
        <v>957.65</v>
      </c>
      <c r="C616" t="n">
        <v>1008.48</v>
      </c>
      <c r="D616" t="n">
        <v>1061.19</v>
      </c>
      <c r="E616" s="5">
        <f>ABS(C616-B616)/B616</f>
        <v/>
      </c>
      <c r="F616" s="5">
        <f>ABS(D616-B616)/B616</f>
        <v/>
      </c>
      <c r="G616">
        <f>IF(E616&lt;F616,"model","official")</f>
        <v/>
      </c>
    </row>
    <row r="617">
      <c r="A617" s="2" t="n">
        <v>45908</v>
      </c>
      <c r="B617" t="n">
        <v>1239.45</v>
      </c>
      <c r="C617" t="n">
        <v>1236.59</v>
      </c>
      <c r="D617" t="n">
        <v>1291.51</v>
      </c>
      <c r="E617" s="5">
        <f>ABS(C617-B617)/B617</f>
        <v/>
      </c>
      <c r="F617" s="5">
        <f>ABS(D617-B617)/B617</f>
        <v/>
      </c>
      <c r="G617">
        <f>IF(E617&lt;F617,"model","official")</f>
        <v/>
      </c>
    </row>
    <row r="618">
      <c r="A618" s="2" t="n">
        <v>45909</v>
      </c>
      <c r="B618" t="n">
        <v>1282.02</v>
      </c>
      <c r="C618" t="n">
        <v>1258.97</v>
      </c>
      <c r="D618" t="n">
        <v>1297.44</v>
      </c>
      <c r="E618" s="5">
        <f>ABS(C618-B618)/B618</f>
        <v/>
      </c>
      <c r="F618" s="5">
        <f>ABS(D618-B618)/B618</f>
        <v/>
      </c>
      <c r="G618">
        <f>IF(E618&lt;F618,"model","official")</f>
        <v/>
      </c>
    </row>
    <row r="619">
      <c r="A619" s="2" t="n">
        <v>45910</v>
      </c>
      <c r="B619" t="n">
        <v>1283.02</v>
      </c>
      <c r="C619" t="n">
        <v>1268.85</v>
      </c>
      <c r="D619" t="n">
        <v>1292.49</v>
      </c>
      <c r="E619" s="5">
        <f>ABS(C619-B619)/B619</f>
        <v/>
      </c>
      <c r="F619" s="5">
        <f>ABS(D619-B619)/B619</f>
        <v/>
      </c>
      <c r="G619">
        <f>IF(E619&lt;F619,"model","official")</f>
        <v/>
      </c>
    </row>
    <row r="620">
      <c r="A620" s="2" t="n">
        <v>45911</v>
      </c>
      <c r="B620" t="n">
        <v>1266.99</v>
      </c>
      <c r="C620" t="n">
        <v>1271.05</v>
      </c>
      <c r="D620" t="n">
        <v>1303.28</v>
      </c>
      <c r="E620" s="5">
        <f>ABS(C620-B620)/B620</f>
        <v/>
      </c>
      <c r="F620" s="5">
        <f>ABS(D620-B620)/B620</f>
        <v/>
      </c>
      <c r="G620">
        <f>IF(E620&lt;F620,"model","official")</f>
        <v/>
      </c>
    </row>
    <row r="621">
      <c r="A621" s="2" t="n">
        <v>45912</v>
      </c>
      <c r="B621" t="n">
        <v>1249.86</v>
      </c>
      <c r="C621" t="n">
        <v>1247.45</v>
      </c>
      <c r="D621" t="n">
        <v>1294.26</v>
      </c>
      <c r="E621" s="5">
        <f>ABS(C621-B621)/B621</f>
        <v/>
      </c>
      <c r="F621" s="5">
        <f>ABS(D621-B621)/B621</f>
        <v/>
      </c>
      <c r="G621">
        <f>IF(E621&lt;F621,"model","official")</f>
        <v/>
      </c>
    </row>
    <row r="622">
      <c r="A622" s="2" t="n">
        <v>45913</v>
      </c>
      <c r="B622" t="n">
        <v>1063.64</v>
      </c>
      <c r="C622" t="n">
        <v>1071.83</v>
      </c>
      <c r="D622" t="n">
        <v>1091.92</v>
      </c>
      <c r="E622" s="5">
        <f>ABS(C622-B622)/B622</f>
        <v/>
      </c>
      <c r="F622" s="5">
        <f>ABS(D622-B622)/B622</f>
        <v/>
      </c>
      <c r="G622">
        <f>IF(E622&lt;F622,"model","official")</f>
        <v/>
      </c>
    </row>
    <row r="623">
      <c r="A623" s="2" t="n">
        <v>45914</v>
      </c>
      <c r="B623" t="n">
        <v>984.75</v>
      </c>
      <c r="C623" t="n">
        <v>1014.01</v>
      </c>
      <c r="D623" t="n">
        <v>1070.34</v>
      </c>
      <c r="E623" s="5">
        <f>ABS(C623-B623)/B623</f>
        <v/>
      </c>
      <c r="F623" s="5">
        <f>ABS(D623-B623)/B623</f>
        <v/>
      </c>
      <c r="G623">
        <f>IF(E623&lt;F623,"model","official")</f>
        <v/>
      </c>
    </row>
    <row r="624">
      <c r="A624" s="2" t="n">
        <v>45915</v>
      </c>
      <c r="B624" t="n">
        <v>1269.43</v>
      </c>
      <c r="C624" t="n">
        <v>1252.41</v>
      </c>
      <c r="D624" t="n">
        <v>1305.86</v>
      </c>
      <c r="E624" s="5">
        <f>ABS(C624-B624)/B624</f>
        <v/>
      </c>
      <c r="F624" s="5">
        <f>ABS(D624-B624)/B624</f>
        <v/>
      </c>
      <c r="G624">
        <f>IF(E624&lt;F624,"model","official")</f>
        <v/>
      </c>
    </row>
    <row r="625">
      <c r="A625" s="2" t="n">
        <v>45916</v>
      </c>
      <c r="B625" t="n">
        <v>1305.16</v>
      </c>
      <c r="C625" t="n">
        <v>1282.33</v>
      </c>
      <c r="D625" t="n">
        <v>1313.63</v>
      </c>
      <c r="E625" s="5">
        <f>ABS(C625-B625)/B625</f>
        <v/>
      </c>
      <c r="F625" s="5">
        <f>ABS(D625-B625)/B625</f>
        <v/>
      </c>
      <c r="G625">
        <f>IF(E625&lt;F625,"model","official")</f>
        <v/>
      </c>
    </row>
    <row r="626">
      <c r="A626" s="2" t="n">
        <v>45917</v>
      </c>
      <c r="B626" t="n">
        <v>1301.1</v>
      </c>
      <c r="C626" t="n">
        <v>1294.53</v>
      </c>
      <c r="D626" t="n">
        <v>1301.83</v>
      </c>
      <c r="E626" s="5">
        <f>ABS(C626-B626)/B626</f>
        <v/>
      </c>
      <c r="F626" s="5">
        <f>ABS(D626-B626)/B626</f>
        <v/>
      </c>
      <c r="G626">
        <f>IF(E626&lt;F626,"model","official")</f>
        <v/>
      </c>
    </row>
    <row r="627">
      <c r="A627" s="2" t="n">
        <v>45918</v>
      </c>
      <c r="B627" t="n">
        <v>1302.37</v>
      </c>
      <c r="C627" t="n">
        <v>1294.53</v>
      </c>
      <c r="D627" t="n">
        <v>1305.85</v>
      </c>
      <c r="E627" s="5">
        <f>ABS(C627-B627)/B627</f>
        <v/>
      </c>
      <c r="F627" s="5">
        <f>ABS(D627-B627)/B627</f>
        <v/>
      </c>
      <c r="G627">
        <f>IF(E627&lt;F627,"model","official")</f>
        <v/>
      </c>
    </row>
    <row r="628">
      <c r="A628" s="2" t="n">
        <v>45919</v>
      </c>
      <c r="B628" t="n">
        <v>1262.81</v>
      </c>
      <c r="C628" t="n">
        <v>1273.18</v>
      </c>
      <c r="D628" t="n">
        <v>1316.01</v>
      </c>
      <c r="E628" s="5">
        <f>ABS(C628-B628)/B628</f>
        <v/>
      </c>
      <c r="F628" s="5">
        <f>ABS(D628-B628)/B628</f>
        <v/>
      </c>
      <c r="G628">
        <f>IF(E628&lt;F628,"model","official")</f>
        <v/>
      </c>
    </row>
    <row r="629">
      <c r="A629" s="2" t="n">
        <v>45920</v>
      </c>
      <c r="B629" t="n">
        <v>1060.29</v>
      </c>
      <c r="C629" t="n">
        <v>1100.73</v>
      </c>
      <c r="D629" t="n">
        <v>1110.14</v>
      </c>
      <c r="E629" s="5">
        <f>ABS(C629-B629)/B629</f>
        <v/>
      </c>
      <c r="F629" s="5">
        <f>ABS(D629-B629)/B629</f>
        <v/>
      </c>
      <c r="G629">
        <f>IF(E629&lt;F629,"model","official")</f>
        <v/>
      </c>
    </row>
    <row r="630">
      <c r="A630" s="2" t="n">
        <v>45921</v>
      </c>
      <c r="B630" t="n">
        <v>1040.8</v>
      </c>
      <c r="C630" t="n">
        <v>1040.39</v>
      </c>
      <c r="D630" t="n">
        <v>1082.57</v>
      </c>
      <c r="E630" s="5">
        <f>ABS(C630-B630)/B630</f>
        <v/>
      </c>
      <c r="F630" s="5">
        <f>ABS(D630-B630)/B630</f>
        <v/>
      </c>
      <c r="G630">
        <f>IF(E630&lt;F630,"model","official")</f>
        <v/>
      </c>
    </row>
    <row r="631">
      <c r="A631" s="2" t="n">
        <v>45922</v>
      </c>
      <c r="B631" t="n">
        <v>1277.54</v>
      </c>
      <c r="C631" t="n">
        <v>1277.19</v>
      </c>
      <c r="D631" t="n">
        <v>1270.67</v>
      </c>
      <c r="E631" s="5">
        <f>ABS(C631-B631)/B631</f>
        <v/>
      </c>
      <c r="F631" s="5">
        <f>ABS(D631-B631)/B631</f>
        <v/>
      </c>
      <c r="G631">
        <f>IF(E631&lt;F631,"model","official")</f>
        <v/>
      </c>
    </row>
    <row r="632">
      <c r="A632" s="2" t="n">
        <v>45923</v>
      </c>
      <c r="B632" t="n">
        <v>1277.68</v>
      </c>
      <c r="C632" t="n">
        <v>1311.47</v>
      </c>
      <c r="D632" t="n">
        <v>1301.03</v>
      </c>
      <c r="E632" s="5">
        <f>ABS(C632-B632)/B632</f>
        <v/>
      </c>
      <c r="F632" s="5">
        <f>ABS(D632-B632)/B632</f>
        <v/>
      </c>
      <c r="G632">
        <f>IF(E632&lt;F632,"model","official")</f>
        <v/>
      </c>
    </row>
    <row r="633">
      <c r="A633" s="2" t="n">
        <v>45924</v>
      </c>
      <c r="B633" t="n">
        <v>1311.22</v>
      </c>
      <c r="C633" t="n">
        <v>1320.25</v>
      </c>
      <c r="D633" t="n">
        <v>1307.39</v>
      </c>
      <c r="E633" s="5">
        <f>ABS(C633-B633)/B633</f>
        <v/>
      </c>
      <c r="F633" s="5">
        <f>ABS(D633-B633)/B633</f>
        <v/>
      </c>
      <c r="G633">
        <f>IF(E633&lt;F633,"model","official")</f>
        <v/>
      </c>
    </row>
    <row r="634">
      <c r="A634" s="2" t="n">
        <v>45925</v>
      </c>
      <c r="B634" t="n">
        <v>1367.76</v>
      </c>
      <c r="C634" t="n">
        <v>1313.14</v>
      </c>
      <c r="D634" t="n">
        <v>1315.7</v>
      </c>
      <c r="E634" s="5">
        <f>ABS(C634-B634)/B634</f>
        <v/>
      </c>
      <c r="F634" s="5">
        <f>ABS(D634-B634)/B634</f>
        <v/>
      </c>
      <c r="G634">
        <f>IF(E634&lt;F634,"model","official")</f>
        <v/>
      </c>
    </row>
    <row r="635">
      <c r="A635" s="2" t="n">
        <v>45926</v>
      </c>
      <c r="B635" t="n">
        <v>1349.42</v>
      </c>
      <c r="C635" t="n">
        <v>1289.33</v>
      </c>
      <c r="D635" t="n">
        <v>1300.85</v>
      </c>
      <c r="E635" s="5">
        <f>ABS(C635-B635)/B635</f>
        <v/>
      </c>
      <c r="F635" s="5">
        <f>ABS(D635-B635)/B635</f>
        <v/>
      </c>
      <c r="G635">
        <f>IF(E635&lt;F635,"model","official")</f>
        <v/>
      </c>
    </row>
    <row r="636">
      <c r="A636" s="2" t="n">
        <v>45927</v>
      </c>
      <c r="B636" t="n">
        <v>1118.4</v>
      </c>
      <c r="C636" t="n">
        <v>1117.72</v>
      </c>
      <c r="D636" t="n">
        <v>1104.27</v>
      </c>
      <c r="E636" s="5">
        <f>ABS(C636-B636)/B636</f>
        <v/>
      </c>
      <c r="F636" s="5">
        <f>ABS(D636-B636)/B636</f>
        <v/>
      </c>
      <c r="G636">
        <f>IF(E636&lt;F636,"model","official")</f>
        <v/>
      </c>
    </row>
    <row r="637">
      <c r="A637" s="2" t="n">
        <v>45928</v>
      </c>
      <c r="B637" t="n">
        <v>1032.99</v>
      </c>
      <c r="C637" t="n">
        <v>1067.25</v>
      </c>
      <c r="D637" t="n">
        <v>1090.21</v>
      </c>
      <c r="E637" s="5">
        <f>ABS(C637-B637)/B637</f>
        <v/>
      </c>
      <c r="F637" s="5">
        <f>ABS(D637-B637)/B637</f>
        <v/>
      </c>
      <c r="G637">
        <f>IF(E637&lt;F637,"model","official")</f>
        <v/>
      </c>
    </row>
    <row r="638">
      <c r="A638" s="2" t="n">
        <v>45929</v>
      </c>
      <c r="B638" t="n">
        <v>1277.06</v>
      </c>
      <c r="C638" t="n">
        <v>1316.62</v>
      </c>
      <c r="D638" t="n">
        <v>1329.93</v>
      </c>
      <c r="E638" s="5">
        <f>ABS(C638-B638)/B638</f>
        <v/>
      </c>
      <c r="F638" s="5">
        <f>ABS(D638-B638)/B638</f>
        <v/>
      </c>
      <c r="G638">
        <f>IF(E638&lt;F638,"model","official")</f>
        <v/>
      </c>
    </row>
    <row r="639">
      <c r="A639" s="2" t="n">
        <v>45930</v>
      </c>
      <c r="B639" t="n">
        <v>1302.46</v>
      </c>
      <c r="C639" t="n">
        <v>1340.74</v>
      </c>
      <c r="D639" t="n">
        <v>1337.02</v>
      </c>
      <c r="E639" s="5">
        <f>ABS(C639-B639)/B639</f>
        <v/>
      </c>
      <c r="F639" s="5">
        <f>ABS(D639-B639)/B639</f>
        <v/>
      </c>
      <c r="G639">
        <f>IF(E639&lt;F639,"model","official")</f>
        <v/>
      </c>
    </row>
    <row r="640">
      <c r="A640" s="2" t="n">
        <v>45931</v>
      </c>
      <c r="B640" t="n">
        <v>1287.32</v>
      </c>
      <c r="C640" t="n">
        <v>1349.66</v>
      </c>
      <c r="D640" t="n">
        <v>1343.53</v>
      </c>
      <c r="E640" s="5">
        <f>ABS(C640-B640)/B640</f>
        <v/>
      </c>
      <c r="F640" s="5">
        <f>ABS(D640-B640)/B640</f>
        <v/>
      </c>
      <c r="G640">
        <f>IF(E640&lt;F640,"model","official")</f>
        <v/>
      </c>
    </row>
    <row r="641">
      <c r="A641" s="2" t="n">
        <v>45932</v>
      </c>
      <c r="B641" t="n">
        <v>1278.82</v>
      </c>
      <c r="C641" t="n">
        <v>1352.11</v>
      </c>
      <c r="D641" t="n">
        <v>1313.81</v>
      </c>
      <c r="E641" s="5">
        <f>ABS(C641-B641)/B641</f>
        <v/>
      </c>
      <c r="F641" s="5">
        <f>ABS(D641-B641)/B641</f>
        <v/>
      </c>
      <c r="G641">
        <f>IF(E641&lt;F641,"model","official")</f>
        <v/>
      </c>
    </row>
    <row r="642">
      <c r="A642" s="2" t="n">
        <v>45933</v>
      </c>
      <c r="B642" t="n">
        <v>1096.34</v>
      </c>
      <c r="C642" t="n">
        <v>1083.13</v>
      </c>
      <c r="D642" t="n">
        <v>1140.37</v>
      </c>
      <c r="E642" s="5">
        <f>ABS(C642-B642)/B642</f>
        <v/>
      </c>
      <c r="F642" s="5">
        <f>ABS(D642-B642)/B642</f>
        <v/>
      </c>
      <c r="G642">
        <f>IF(E642&lt;F642,"model","official")</f>
        <v/>
      </c>
    </row>
    <row r="643">
      <c r="A643" s="2" t="n">
        <v>45934</v>
      </c>
      <c r="B643" t="n">
        <v>1169.41</v>
      </c>
      <c r="C643" t="n">
        <v>1126.89</v>
      </c>
      <c r="D643" t="n">
        <v>1143.58</v>
      </c>
      <c r="E643" s="5">
        <f>ABS(C643-B643)/B643</f>
        <v/>
      </c>
      <c r="F643" s="5">
        <f>ABS(D643-B643)/B643</f>
        <v/>
      </c>
      <c r="G643">
        <f>IF(E643&lt;F643,"model","official")</f>
        <v/>
      </c>
    </row>
    <row r="644">
      <c r="A644" s="2" t="n">
        <v>45935</v>
      </c>
      <c r="B644" t="n">
        <v>1129.93</v>
      </c>
      <c r="C644" t="n">
        <v>1033.19</v>
      </c>
      <c r="D644" t="n">
        <v>1131.18</v>
      </c>
      <c r="E644" s="5">
        <f>ABS(C644-B644)/B644</f>
        <v/>
      </c>
      <c r="F644" s="5">
        <f>ABS(D644-B644)/B644</f>
        <v/>
      </c>
      <c r="G644">
        <f>IF(E644&lt;F644,"model","official")</f>
        <v/>
      </c>
    </row>
    <row r="645">
      <c r="A645" s="2" t="n">
        <v>45936</v>
      </c>
      <c r="B645" t="n">
        <v>1367.49</v>
      </c>
      <c r="C645" t="n">
        <v>1274.05</v>
      </c>
      <c r="D645" t="n">
        <v>1354.01</v>
      </c>
      <c r="E645" s="5">
        <f>ABS(C645-B645)/B645</f>
        <v/>
      </c>
      <c r="F645" s="5">
        <f>ABS(D645-B645)/B645</f>
        <v/>
      </c>
      <c r="G645">
        <f>IF(E645&lt;F645,"model","official")</f>
        <v/>
      </c>
    </row>
    <row r="646">
      <c r="A646" s="2" t="n">
        <v>45937</v>
      </c>
      <c r="B646" t="n">
        <v>1340.35</v>
      </c>
      <c r="C646" t="n">
        <v>1316.21</v>
      </c>
      <c r="D646" t="n">
        <v>1355.42</v>
      </c>
      <c r="E646" s="5">
        <f>ABS(C646-B646)/B646</f>
        <v/>
      </c>
      <c r="F646" s="5">
        <f>ABS(D646-B646)/B646</f>
        <v/>
      </c>
      <c r="G646">
        <f>IF(E646&lt;F646,"model","official")</f>
        <v/>
      </c>
    </row>
    <row r="647">
      <c r="A647" s="2" t="n">
        <v>45938</v>
      </c>
      <c r="B647" t="n">
        <v>1334.63</v>
      </c>
      <c r="C647" t="n">
        <v>1336.22</v>
      </c>
      <c r="D647" t="n">
        <v>1356.85</v>
      </c>
      <c r="E647" s="5">
        <f>ABS(C647-B647)/B647</f>
        <v/>
      </c>
      <c r="F647" s="5">
        <f>ABS(D647-B647)/B647</f>
        <v/>
      </c>
      <c r="G647">
        <f>IF(E647&lt;F647,"model","official")</f>
        <v/>
      </c>
    </row>
    <row r="648">
      <c r="A648" s="2" t="n">
        <v>45939</v>
      </c>
      <c r="B648" t="n">
        <v>1365.08</v>
      </c>
      <c r="C648" t="n">
        <v>1338.1</v>
      </c>
      <c r="D648" t="n">
        <v>1348.06</v>
      </c>
      <c r="E648" s="5">
        <f>ABS(C648-B648)/B648</f>
        <v/>
      </c>
      <c r="F648" s="5">
        <f>ABS(D648-B648)/B648</f>
        <v/>
      </c>
      <c r="G648">
        <f>IF(E648&lt;F648,"model","official")</f>
        <v/>
      </c>
    </row>
    <row r="649">
      <c r="A649" s="2" t="n">
        <v>45940</v>
      </c>
      <c r="B649" t="n">
        <v>1384.6</v>
      </c>
      <c r="C649" t="n">
        <v>1312.77</v>
      </c>
      <c r="D649" t="n">
        <v>1352.84</v>
      </c>
      <c r="E649" s="5">
        <f>ABS(C649-B649)/B649</f>
        <v/>
      </c>
      <c r="F649" s="5">
        <f>ABS(D649-B649)/B649</f>
        <v/>
      </c>
      <c r="G649">
        <f>IF(E649&lt;F649,"model","official")</f>
        <v/>
      </c>
    </row>
    <row r="650">
      <c r="A650" s="2" t="n">
        <v>45941</v>
      </c>
      <c r="B650" t="n">
        <v>1180.05</v>
      </c>
      <c r="C650" t="n">
        <v>1149.74</v>
      </c>
      <c r="D650" t="n">
        <v>1162.63</v>
      </c>
      <c r="E650" s="5">
        <f>ABS(C650-B650)/B650</f>
        <v/>
      </c>
      <c r="F650" s="5">
        <f>ABS(D650-B650)/B650</f>
        <v/>
      </c>
      <c r="G650">
        <f>IF(E650&lt;F650,"model","official")</f>
        <v/>
      </c>
    </row>
    <row r="651">
      <c r="A651" s="2" t="n">
        <v>45942</v>
      </c>
      <c r="B651" t="n">
        <v>1084.33</v>
      </c>
      <c r="C651" t="n">
        <v>1121.44</v>
      </c>
      <c r="D651" t="n">
        <v>1145.2</v>
      </c>
      <c r="E651" s="5">
        <f>ABS(C651-B651)/B651</f>
        <v/>
      </c>
      <c r="F651" s="5">
        <f>ABS(D651-B651)/B651</f>
        <v/>
      </c>
      <c r="G651">
        <f>IF(E651&lt;F651,"model","official")</f>
        <v/>
      </c>
    </row>
    <row r="652">
      <c r="A652" s="2" t="n">
        <v>45943</v>
      </c>
      <c r="B652" t="n">
        <v>1312.67</v>
      </c>
      <c r="C652" t="n">
        <v>1374.73</v>
      </c>
      <c r="D652" t="n">
        <v>1358.55</v>
      </c>
      <c r="E652" s="5">
        <f>ABS(C652-B652)/B652</f>
        <v/>
      </c>
      <c r="F652" s="5">
        <f>ABS(D652-B652)/B652</f>
        <v/>
      </c>
      <c r="G652">
        <f>IF(E652&lt;F652,"model","official")</f>
        <v/>
      </c>
    </row>
    <row r="653">
      <c r="A653" s="2" t="n">
        <v>45944</v>
      </c>
      <c r="B653" t="n">
        <v>1337.26</v>
      </c>
      <c r="C653" t="n">
        <v>1393.45</v>
      </c>
      <c r="D653" t="n">
        <v>1358.86</v>
      </c>
      <c r="E653" s="5">
        <f>ABS(C653-B653)/B653</f>
        <v/>
      </c>
      <c r="F653" s="5">
        <f>ABS(D653-B653)/B653</f>
        <v/>
      </c>
      <c r="G653">
        <f>IF(E653&lt;F653,"model","official")</f>
        <v/>
      </c>
    </row>
    <row r="654">
      <c r="A654" s="2" t="n">
        <v>45945</v>
      </c>
      <c r="B654" t="n">
        <v>1357.89</v>
      </c>
      <c r="C654" t="n">
        <v>1392.56</v>
      </c>
      <c r="D654" t="n">
        <v>1361.83</v>
      </c>
      <c r="E654" s="5">
        <f>ABS(C654-B654)/B654</f>
        <v/>
      </c>
      <c r="F654" s="5">
        <f>ABS(D654-B654)/B654</f>
        <v/>
      </c>
      <c r="G654">
        <f>IF(E654&lt;F654,"model","official")</f>
        <v/>
      </c>
    </row>
    <row r="655">
      <c r="A655" s="2" t="n">
        <v>45946</v>
      </c>
      <c r="B655" t="n">
        <v>1382.48</v>
      </c>
      <c r="C655" t="n">
        <v>1389.73</v>
      </c>
      <c r="D655" t="n">
        <v>1357.64</v>
      </c>
      <c r="E655" s="5">
        <f>ABS(C655-B655)/B655</f>
        <v/>
      </c>
      <c r="F655" s="5">
        <f>ABS(D655-B655)/B655</f>
        <v/>
      </c>
      <c r="G655">
        <f>IF(E655&lt;F655,"model","official")</f>
        <v/>
      </c>
    </row>
    <row r="656">
      <c r="A656" s="2" t="n">
        <v>45947</v>
      </c>
      <c r="B656" t="n">
        <v>1366.17</v>
      </c>
      <c r="C656" t="n">
        <v>1368.66</v>
      </c>
      <c r="D656" t="n">
        <v>1348.29</v>
      </c>
      <c r="E656" s="5">
        <f>ABS(C656-B656)/B656</f>
        <v/>
      </c>
      <c r="F656" s="5">
        <f>ABS(D656-B656)/B656</f>
        <v/>
      </c>
      <c r="G656">
        <f>IF(E656&lt;F656,"model","official")</f>
        <v/>
      </c>
    </row>
    <row r="657">
      <c r="A657" s="2" t="n">
        <v>45948</v>
      </c>
      <c r="B657" t="n">
        <v>1155.88</v>
      </c>
      <c r="C657" t="n">
        <v>1179.06</v>
      </c>
      <c r="D657" t="n">
        <v>1155.94</v>
      </c>
      <c r="E657" s="5">
        <f>ABS(C657-B657)/B657</f>
        <v/>
      </c>
      <c r="F657" s="5">
        <f>ABS(D657-B657)/B657</f>
        <v/>
      </c>
      <c r="G657">
        <f>IF(E657&lt;F657,"model","official")</f>
        <v/>
      </c>
    </row>
    <row r="658">
      <c r="A658" s="2" t="n">
        <v>45949</v>
      </c>
      <c r="B658" t="n">
        <v>1104.88</v>
      </c>
      <c r="C658" t="n">
        <v>1110.55</v>
      </c>
      <c r="D658" t="n">
        <v>1154.4</v>
      </c>
      <c r="E658" s="5">
        <f>ABS(C658-B658)/B658</f>
        <v/>
      </c>
      <c r="F658" s="5">
        <f>ABS(D658-B658)/B658</f>
        <v/>
      </c>
      <c r="G658">
        <f>IF(E658&lt;F658,"model","official")</f>
        <v/>
      </c>
    </row>
    <row r="659">
      <c r="A659" s="2" t="n">
        <v>45950</v>
      </c>
      <c r="B659" t="n">
        <v>1395.26</v>
      </c>
      <c r="C659" t="n">
        <v>1356.33</v>
      </c>
      <c r="D659" t="n">
        <v>1344.13</v>
      </c>
      <c r="E659" s="5">
        <f>ABS(C659-B659)/B659</f>
        <v/>
      </c>
      <c r="F659" s="5">
        <f>ABS(D659-B659)/B659</f>
        <v/>
      </c>
      <c r="G659">
        <f>IF(E659&lt;F659,"model","official")</f>
        <v/>
      </c>
    </row>
    <row r="660">
      <c r="A660" s="2" t="n">
        <v>45951</v>
      </c>
      <c r="B660" t="n">
        <v>1408.89</v>
      </c>
      <c r="C660" t="n">
        <v>1386.55</v>
      </c>
      <c r="D660" t="n">
        <v>1345.03</v>
      </c>
      <c r="E660" s="5">
        <f>ABS(C660-B660)/B660</f>
        <v/>
      </c>
      <c r="F660" s="5">
        <f>ABS(D660-B660)/B660</f>
        <v/>
      </c>
      <c r="G660">
        <f>IF(E660&lt;F660,"model","official")</f>
        <v/>
      </c>
    </row>
    <row r="661">
      <c r="A661" s="2" t="n">
        <v>45952</v>
      </c>
      <c r="B661" t="n">
        <v>1375.16</v>
      </c>
      <c r="C661" t="n">
        <v>1407.1</v>
      </c>
      <c r="D661" t="n">
        <v>1339.83</v>
      </c>
      <c r="E661" s="5">
        <f>ABS(C661-B661)/B661</f>
        <v/>
      </c>
      <c r="F661" s="5">
        <f>ABS(D661-B661)/B661</f>
        <v/>
      </c>
      <c r="G661">
        <f>IF(E661&lt;F661,"model","official")</f>
        <v/>
      </c>
    </row>
    <row r="662">
      <c r="A662" s="2" t="n">
        <v>45953</v>
      </c>
      <c r="B662" t="n">
        <v>1403.68</v>
      </c>
      <c r="C662" t="n">
        <v>1415.05</v>
      </c>
      <c r="D662" t="n">
        <v>1373.85</v>
      </c>
      <c r="E662" s="5">
        <f>ABS(C662-B662)/B662</f>
        <v/>
      </c>
      <c r="F662" s="5">
        <f>ABS(D662-B662)/B662</f>
        <v/>
      </c>
      <c r="G662">
        <f>IF(E662&lt;F662,"model","official")</f>
        <v/>
      </c>
    </row>
    <row r="663">
      <c r="A663" s="2" t="n">
        <v>45954</v>
      </c>
      <c r="B663" t="n">
        <v>1406.04</v>
      </c>
      <c r="C663" t="n">
        <v>1391.23</v>
      </c>
      <c r="D663" t="n">
        <v>1377.05</v>
      </c>
      <c r="E663" s="5">
        <f>ABS(C663-B663)/B663</f>
        <v/>
      </c>
      <c r="F663" s="5">
        <f>ABS(D663-B663)/B663</f>
        <v/>
      </c>
      <c r="G663">
        <f>IF(E663&lt;F663,"model","official")</f>
        <v/>
      </c>
    </row>
    <row r="664">
      <c r="A664" s="2" t="n">
        <v>45955</v>
      </c>
      <c r="B664" t="n">
        <v>1242.94</v>
      </c>
      <c r="C664" t="n">
        <v>1198.59</v>
      </c>
      <c r="D664" t="n">
        <v>1157.45</v>
      </c>
      <c r="E664" s="5">
        <f>ABS(C664-B664)/B664</f>
        <v/>
      </c>
      <c r="F664" s="5">
        <f>ABS(D664-B664)/B664</f>
        <v/>
      </c>
      <c r="G664">
        <f>IF(E664&lt;F664,"model","official")</f>
        <v/>
      </c>
    </row>
    <row r="665">
      <c r="A665" s="2" t="n">
        <v>45956</v>
      </c>
      <c r="B665" t="n">
        <v>1220.18</v>
      </c>
      <c r="C665" t="n">
        <v>1137.66</v>
      </c>
      <c r="D665" t="n">
        <v>1179.99</v>
      </c>
      <c r="E665" s="5">
        <f>ABS(C665-B665)/B665</f>
        <v/>
      </c>
      <c r="F665" s="5">
        <f>ABS(D665-B665)/B665</f>
        <v/>
      </c>
      <c r="G665">
        <f>IF(E665&lt;F665,"model","official")</f>
        <v/>
      </c>
    </row>
    <row r="666">
      <c r="A666" s="2" t="n">
        <v>45957</v>
      </c>
      <c r="B666" t="n">
        <v>1431.54</v>
      </c>
      <c r="C666" t="n">
        <v>1407.99</v>
      </c>
      <c r="D666" t="n">
        <v>1402.16</v>
      </c>
      <c r="E666" s="5">
        <f>ABS(C666-B666)/B666</f>
        <v/>
      </c>
      <c r="F666" s="5">
        <f>ABS(D666-B666)/B666</f>
        <v/>
      </c>
      <c r="G666">
        <f>IF(E666&lt;F666,"model","official")</f>
        <v/>
      </c>
    </row>
    <row r="667">
      <c r="A667" s="2" t="n">
        <v>45958</v>
      </c>
      <c r="B667" t="n">
        <v>1446.03</v>
      </c>
      <c r="C667" t="n">
        <v>1452.78</v>
      </c>
      <c r="D667" t="n">
        <v>1398.87</v>
      </c>
      <c r="E667" s="5">
        <f>ABS(C667-B667)/B667</f>
        <v/>
      </c>
      <c r="F667" s="5">
        <f>ABS(D667-B667)/B667</f>
        <v/>
      </c>
      <c r="G667">
        <f>IF(E667&lt;F667,"model","official")</f>
        <v/>
      </c>
    </row>
    <row r="668">
      <c r="A668" s="2" t="n">
        <v>45959</v>
      </c>
      <c r="B668" t="n">
        <v>1416.99</v>
      </c>
      <c r="C668" t="n">
        <v>1464.61</v>
      </c>
      <c r="D668" t="n">
        <v>1394.01</v>
      </c>
      <c r="E668" s="5">
        <f>ABS(C668-B668)/B668</f>
        <v/>
      </c>
      <c r="F668" s="5">
        <f>ABS(D668-B668)/B668</f>
        <v/>
      </c>
      <c r="G668">
        <f>IF(E668&lt;F668,"model","official")</f>
        <v/>
      </c>
    </row>
    <row r="669">
      <c r="A669" s="2" t="n">
        <v>45960</v>
      </c>
      <c r="B669" t="n">
        <v>1398.27</v>
      </c>
      <c r="C669" t="n">
        <v>1467.53</v>
      </c>
      <c r="D669" t="n">
        <v>1406.25</v>
      </c>
      <c r="E669" s="5">
        <f>ABS(C669-B669)/B669</f>
        <v/>
      </c>
      <c r="F669" s="5">
        <f>ABS(D669-B669)/B669</f>
        <v/>
      </c>
      <c r="G669">
        <f>IF(E669&lt;F669,"model","official")</f>
        <v/>
      </c>
    </row>
    <row r="670">
      <c r="A670" s="2" t="n">
        <v>45961</v>
      </c>
      <c r="B670" t="n">
        <v>1294.94</v>
      </c>
      <c r="C670" t="n">
        <v>1320.03</v>
      </c>
      <c r="D670" t="n">
        <v>1337.45</v>
      </c>
      <c r="E670" s="5">
        <f>ABS(C670-B670)/B670</f>
        <v/>
      </c>
      <c r="F670" s="5">
        <f>ABS(D670-B670)/B670</f>
        <v/>
      </c>
      <c r="G670">
        <f>IF(E670&lt;F670,"model","official")</f>
        <v/>
      </c>
    </row>
    <row r="671">
      <c r="A671" s="2" t="n">
        <v>45962</v>
      </c>
      <c r="B671" t="n">
        <v>1154.53</v>
      </c>
      <c r="C671" t="n">
        <v>1100.38</v>
      </c>
      <c r="D671" t="n">
        <v>1106.99</v>
      </c>
      <c r="E671" s="5">
        <f>ABS(C671-B671)/B671</f>
        <v/>
      </c>
      <c r="F671" s="5">
        <f>ABS(D671-B671)/B671</f>
        <v/>
      </c>
      <c r="G671">
        <f>IF(E671&lt;F671,"model","official")</f>
        <v/>
      </c>
    </row>
    <row r="672">
      <c r="A672" s="2" t="n">
        <v>45963</v>
      </c>
      <c r="B672" t="n">
        <v>1111.42</v>
      </c>
      <c r="C672" t="n">
        <v>1165.5</v>
      </c>
      <c r="D672" t="n">
        <v>1173.97</v>
      </c>
      <c r="E672" s="5">
        <f>ABS(C672-B672)/B672</f>
        <v/>
      </c>
      <c r="F672" s="5">
        <f>ABS(D672-B672)/B672</f>
        <v/>
      </c>
      <c r="G672">
        <f>IF(E672&lt;F672,"model","official")</f>
        <v/>
      </c>
    </row>
    <row r="673">
      <c r="A673" s="2" t="n">
        <v>45964</v>
      </c>
      <c r="B673" t="n">
        <v>1382.15</v>
      </c>
      <c r="C673" t="n">
        <v>1412.66</v>
      </c>
      <c r="D673" t="n">
        <v>1367.04</v>
      </c>
      <c r="E673" s="5">
        <f>ABS(C673-B673)/B673</f>
        <v/>
      </c>
      <c r="F673" s="5">
        <f>ABS(D673-B673)/B673</f>
        <v/>
      </c>
      <c r="G673">
        <f>IF(E673&lt;F673,"model","official")</f>
        <v/>
      </c>
    </row>
    <row r="674">
      <c r="A674" s="2" t="n">
        <v>45965</v>
      </c>
      <c r="B674" t="n">
        <v>1409.26</v>
      </c>
      <c r="C674" t="n">
        <v>1427.35</v>
      </c>
      <c r="D674" t="n">
        <v>1365.73</v>
      </c>
      <c r="E674" s="5">
        <f>ABS(C674-B674)/B674</f>
        <v/>
      </c>
      <c r="F674" s="5">
        <f>ABS(D674-B674)/B674</f>
        <v/>
      </c>
      <c r="G674">
        <f>IF(E674&lt;F674,"model","official")</f>
        <v/>
      </c>
    </row>
    <row r="675">
      <c r="A675" s="2" t="n">
        <v>45966</v>
      </c>
      <c r="B675" t="n">
        <v>1406.11</v>
      </c>
      <c r="C675" t="n">
        <v>1426.32</v>
      </c>
      <c r="D675" t="n">
        <v>1366.86</v>
      </c>
      <c r="E675" s="5">
        <f>ABS(C675-B675)/B675</f>
        <v/>
      </c>
      <c r="F675" s="5">
        <f>ABS(D675-B675)/B675</f>
        <v/>
      </c>
      <c r="G675">
        <f>IF(E675&lt;F675,"model","official")</f>
        <v/>
      </c>
    </row>
    <row r="676">
      <c r="A676" s="2" t="n">
        <v>45967</v>
      </c>
      <c r="B676" t="n">
        <v>1412.12</v>
      </c>
      <c r="C676" t="n">
        <v>1416.35</v>
      </c>
      <c r="D676" t="n">
        <v>1384.42</v>
      </c>
      <c r="E676" s="5">
        <f>ABS(C676-B676)/B676</f>
        <v/>
      </c>
      <c r="F676" s="5">
        <f>ABS(D676-B676)/B676</f>
        <v/>
      </c>
      <c r="G676">
        <f>IF(E676&lt;F676,"model","official")</f>
        <v/>
      </c>
    </row>
    <row r="677">
      <c r="A677" s="2" t="n">
        <v>45968</v>
      </c>
      <c r="B677" t="n">
        <v>1410.07</v>
      </c>
      <c r="C677" t="n">
        <v>1385.8</v>
      </c>
      <c r="D677" t="n">
        <v>1417.83</v>
      </c>
      <c r="E677" s="5">
        <f>ABS(C677-B677)/B677</f>
        <v/>
      </c>
      <c r="F677" s="5">
        <f>ABS(D677-B677)/B677</f>
        <v/>
      </c>
      <c r="G677">
        <f>IF(E677&lt;F677,"model","official")</f>
        <v/>
      </c>
    </row>
    <row r="678">
      <c r="A678" s="2" t="n">
        <v>45969</v>
      </c>
      <c r="B678" t="n">
        <v>1219.42</v>
      </c>
      <c r="C678" t="n">
        <v>1196.03</v>
      </c>
      <c r="D678" t="n">
        <v>1236.35</v>
      </c>
      <c r="E678" s="5">
        <f>ABS(C678-B678)/B678</f>
        <v/>
      </c>
      <c r="F678" s="5">
        <f>ABS(D678-B678)/B678</f>
        <v/>
      </c>
      <c r="G678">
        <f>IF(E678&lt;F678,"model","official")</f>
        <v/>
      </c>
    </row>
    <row r="679">
      <c r="A679" s="2" t="n">
        <v>45970</v>
      </c>
      <c r="B679" t="n">
        <v>1142.67</v>
      </c>
      <c r="C679" t="n">
        <v>1144.09</v>
      </c>
      <c r="D679" t="n">
        <v>1199.2</v>
      </c>
      <c r="E679" s="5">
        <f>ABS(C679-B679)/B679</f>
        <v/>
      </c>
      <c r="F679" s="5">
        <f>ABS(D679-B679)/B679</f>
        <v/>
      </c>
      <c r="G679">
        <f>IF(E679&lt;F679,"model","official")</f>
        <v/>
      </c>
    </row>
    <row r="680">
      <c r="A680" s="2" t="n">
        <v>45971</v>
      </c>
      <c r="B680" t="n">
        <v>1380.87</v>
      </c>
      <c r="C680" t="n">
        <v>1412.44</v>
      </c>
      <c r="D680" t="n">
        <v>1419.08</v>
      </c>
      <c r="E680" s="5">
        <f>ABS(C680-B680)/B680</f>
        <v/>
      </c>
      <c r="F680" s="5">
        <f>ABS(D680-B680)/B680</f>
        <v/>
      </c>
      <c r="G680">
        <f>IF(E680&lt;F680,"model","official")</f>
        <v/>
      </c>
    </row>
    <row r="681">
      <c r="A681" s="2" t="n">
        <v>45972</v>
      </c>
      <c r="B681" t="n">
        <v>1419.74</v>
      </c>
      <c r="C681" t="n">
        <v>1444.58</v>
      </c>
      <c r="D681" t="n">
        <v>1423.49</v>
      </c>
      <c r="E681" s="5">
        <f>ABS(C681-B681)/B681</f>
        <v/>
      </c>
      <c r="F681" s="5">
        <f>ABS(D681-B681)/B681</f>
        <v/>
      </c>
      <c r="G681">
        <f>IF(E681&lt;F681,"model","official")</f>
        <v/>
      </c>
    </row>
    <row r="682">
      <c r="A682" s="2" t="n">
        <v>45973</v>
      </c>
      <c r="B682" t="n">
        <v>1435.91</v>
      </c>
      <c r="C682" t="n">
        <v>1451.97</v>
      </c>
      <c r="D682" t="n">
        <v>1419.65</v>
      </c>
      <c r="E682" s="5">
        <f>ABS(C682-B682)/B682</f>
        <v/>
      </c>
      <c r="F682" s="5">
        <f>ABS(D682-B682)/B682</f>
        <v/>
      </c>
      <c r="G682">
        <f>IF(E682&lt;F682,"model","official")</f>
        <v/>
      </c>
    </row>
    <row r="683">
      <c r="A683" s="2" t="n">
        <v>45974</v>
      </c>
      <c r="B683" t="n">
        <v>1454.54</v>
      </c>
      <c r="C683" t="n">
        <v>1450.08</v>
      </c>
      <c r="D683" t="n">
        <v>1409.58</v>
      </c>
      <c r="E683" s="5">
        <f>ABS(C683-B683)/B683</f>
        <v/>
      </c>
      <c r="F683" s="5">
        <f>ABS(D683-B683)/B683</f>
        <v/>
      </c>
      <c r="G683">
        <f>IF(E683&lt;F683,"model","official")</f>
        <v/>
      </c>
    </row>
    <row r="684">
      <c r="A684" s="2" t="n">
        <v>45975</v>
      </c>
      <c r="B684" t="n">
        <v>1390.96</v>
      </c>
      <c r="C684" t="n">
        <v>1429.19</v>
      </c>
      <c r="D684" t="n">
        <v>1398.39</v>
      </c>
      <c r="E684" s="5">
        <f>ABS(C684-B684)/B684</f>
        <v/>
      </c>
      <c r="F684" s="5">
        <f>ABS(D684-B684)/B684</f>
        <v/>
      </c>
      <c r="G684">
        <f>IF(E684&lt;F684,"model","official")</f>
        <v/>
      </c>
    </row>
    <row r="685">
      <c r="A685" s="2" t="n">
        <v>45976</v>
      </c>
      <c r="B685" t="n">
        <v>1232.96</v>
      </c>
      <c r="C685" t="n">
        <v>1235.64</v>
      </c>
      <c r="D685" t="n">
        <v>1238.55</v>
      </c>
      <c r="E685" s="5">
        <f>ABS(C685-B685)/B685</f>
        <v/>
      </c>
      <c r="F685" s="5">
        <f>ABS(D685-B685)/B685</f>
        <v/>
      </c>
      <c r="G685">
        <f>IF(E685&lt;F685,"model","official")</f>
        <v/>
      </c>
    </row>
    <row r="686">
      <c r="A686" s="2" t="n">
        <v>45977</v>
      </c>
      <c r="B686" t="n">
        <v>1150.78</v>
      </c>
      <c r="C686" t="n">
        <v>1164.51</v>
      </c>
      <c r="D686" t="n">
        <v>1214.2</v>
      </c>
      <c r="E686" s="5">
        <f>ABS(C686-B686)/B686</f>
        <v/>
      </c>
      <c r="F686" s="5">
        <f>ABS(D686-B686)/B686</f>
        <v/>
      </c>
      <c r="G686">
        <f>IF(E686&lt;F686,"model","official")</f>
        <v/>
      </c>
    </row>
    <row r="687">
      <c r="A687" s="2" t="n">
        <v>45978</v>
      </c>
      <c r="B687" t="n">
        <v>1470.55</v>
      </c>
      <c r="C687" t="n">
        <v>1428.55</v>
      </c>
      <c r="D687" t="n">
        <v>1432.51</v>
      </c>
      <c r="E687" s="5">
        <f>ABS(C687-B687)/B687</f>
        <v/>
      </c>
      <c r="F687" s="5">
        <f>ABS(D687-B687)/B687</f>
        <v/>
      </c>
      <c r="G687">
        <f>IF(E687&lt;F687,"model","official")</f>
        <v/>
      </c>
    </row>
    <row r="688">
      <c r="A688" s="2" t="n">
        <v>45979</v>
      </c>
      <c r="B688" t="n">
        <v>1525.54</v>
      </c>
      <c r="C688" t="n">
        <v>1458.23</v>
      </c>
      <c r="D688" t="n">
        <v>1446.88</v>
      </c>
      <c r="E688" s="5">
        <f>ABS(C688-B688)/B688</f>
        <v/>
      </c>
      <c r="F688" s="5">
        <f>ABS(D688-B688)/B688</f>
        <v/>
      </c>
      <c r="G688">
        <f>IF(E688&lt;F688,"model","official")</f>
        <v/>
      </c>
    </row>
    <row r="689">
      <c r="A689" s="2" t="n">
        <v>45980</v>
      </c>
      <c r="B689" t="n">
        <v>1509.61</v>
      </c>
      <c r="C689" t="n">
        <v>1480.18</v>
      </c>
      <c r="D689" t="n">
        <v>1389.56</v>
      </c>
      <c r="E689" s="5">
        <f>ABS(C689-B689)/B689</f>
        <v/>
      </c>
      <c r="F689" s="5">
        <f>ABS(D689-B689)/B689</f>
        <v/>
      </c>
      <c r="G689">
        <f>IF(E689&lt;F689,"model","official")</f>
        <v/>
      </c>
    </row>
    <row r="690">
      <c r="A690" s="2" t="n">
        <v>45981</v>
      </c>
      <c r="B690" t="n">
        <v>1519.62</v>
      </c>
      <c r="C690" t="n">
        <v>1493.04</v>
      </c>
      <c r="D690" t="n">
        <v>1472.78</v>
      </c>
      <c r="E690" s="5">
        <f>ABS(C690-B690)/B690</f>
        <v/>
      </c>
      <c r="F690" s="5">
        <f>ABS(D690-B690)/B690</f>
        <v/>
      </c>
      <c r="G690">
        <f>IF(E690&lt;F690,"model","official")</f>
        <v/>
      </c>
    </row>
    <row r="691">
      <c r="A691" s="2" t="n">
        <v>45982</v>
      </c>
      <c r="B691" t="n">
        <v>1496.33</v>
      </c>
      <c r="C691" t="n">
        <v>1475.41</v>
      </c>
      <c r="D691" t="n">
        <v>1470.15</v>
      </c>
      <c r="E691" s="5">
        <f>ABS(C691-B691)/B691</f>
        <v/>
      </c>
      <c r="F691" s="5">
        <f>ABS(D691-B691)/B691</f>
        <v/>
      </c>
      <c r="G691">
        <f>IF(E691&lt;F691,"model","official")</f>
        <v/>
      </c>
    </row>
    <row r="692">
      <c r="A692" s="2" t="n">
        <v>45983</v>
      </c>
      <c r="B692" t="n">
        <v>1347.25</v>
      </c>
      <c r="C692" t="n">
        <v>1279.66</v>
      </c>
      <c r="D692" t="n">
        <v>1287.75</v>
      </c>
      <c r="E692" s="5">
        <f>ABS(C692-B692)/B692</f>
        <v/>
      </c>
      <c r="F692" s="5">
        <f>ABS(D692-B692)/B692</f>
        <v/>
      </c>
      <c r="G692">
        <f>IF(E692&lt;F692,"model","official")</f>
        <v/>
      </c>
    </row>
    <row r="693">
      <c r="A693" s="2" t="n">
        <v>45984</v>
      </c>
      <c r="B693" t="n">
        <v>1315.66</v>
      </c>
      <c r="C693" t="n">
        <v>1220.75</v>
      </c>
      <c r="D693" t="n">
        <v>1264.39</v>
      </c>
      <c r="E693" s="5">
        <f>ABS(C693-B693)/B693</f>
        <v/>
      </c>
      <c r="F693" s="5">
        <f>ABS(D693-B693)/B693</f>
        <v/>
      </c>
      <c r="G693">
        <f>IF(E693&lt;F693,"model","official")</f>
        <v/>
      </c>
    </row>
    <row r="694">
      <c r="A694" s="2" t="n">
        <v>45985</v>
      </c>
      <c r="B694" t="n">
        <v>1524.98</v>
      </c>
      <c r="C694" t="n">
        <v>1515.59</v>
      </c>
      <c r="D694" t="n">
        <v>1499.48</v>
      </c>
      <c r="E694" s="5">
        <f>ABS(C694-B694)/B694</f>
        <v/>
      </c>
      <c r="F694" s="5">
        <f>ABS(D694-B694)/B694</f>
        <v/>
      </c>
      <c r="G694">
        <f>IF(E694&lt;F694,"model","official")</f>
        <v/>
      </c>
    </row>
    <row r="695">
      <c r="A695" s="2" t="n">
        <v>45986</v>
      </c>
      <c r="B695" t="n">
        <v>1495.49</v>
      </c>
      <c r="C695" t="n">
        <v>1570.94</v>
      </c>
      <c r="D695" t="n">
        <v>1525.15</v>
      </c>
      <c r="E695" s="5">
        <f>ABS(C695-B695)/B695</f>
        <v/>
      </c>
      <c r="F695" s="5">
        <f>ABS(D695-B695)/B695</f>
        <v/>
      </c>
      <c r="G695">
        <f>IF(E695&lt;F695,"model","official")</f>
        <v/>
      </c>
    </row>
    <row r="696">
      <c r="A696" s="2" t="n">
        <v>45987</v>
      </c>
      <c r="B696" t="n">
        <v>1516.83</v>
      </c>
      <c r="C696" t="n">
        <v>1587.1</v>
      </c>
      <c r="D696" t="n">
        <v>1502.69</v>
      </c>
      <c r="E696" s="5">
        <f>ABS(C696-B696)/B696</f>
        <v/>
      </c>
      <c r="F696" s="5">
        <f>ABS(D696-B696)/B696</f>
        <v/>
      </c>
      <c r="G696">
        <f>IF(E696&lt;F696,"model","official")</f>
        <v/>
      </c>
    </row>
    <row r="697">
      <c r="A697" s="2" t="n">
        <v>45988</v>
      </c>
      <c r="B697" t="n">
        <v>1573.45</v>
      </c>
      <c r="C697" t="n">
        <v>1579.35</v>
      </c>
      <c r="D697" t="n">
        <v>1486.86</v>
      </c>
      <c r="E697" s="5">
        <f>ABS(C697-B697)/B697</f>
        <v/>
      </c>
      <c r="F697" s="5">
        <f>ABS(D697-B697)/B697</f>
        <v/>
      </c>
      <c r="G697">
        <f>IF(E697&lt;F697,"model","official")</f>
        <v/>
      </c>
    </row>
    <row r="698">
      <c r="A698" s="2" t="n">
        <v>45989</v>
      </c>
      <c r="B698" t="n">
        <v>1528.48</v>
      </c>
      <c r="C698" t="n">
        <v>1552.38</v>
      </c>
      <c r="D698" t="n">
        <v>1509.21</v>
      </c>
      <c r="E698" s="5">
        <f>ABS(C698-B698)/B698</f>
        <v/>
      </c>
      <c r="F698" s="5">
        <f>ABS(D698-B698)/B698</f>
        <v/>
      </c>
      <c r="G698">
        <f>IF(E698&lt;F698,"model","official")</f>
        <v/>
      </c>
    </row>
    <row r="699">
      <c r="A699" s="2" t="n">
        <v>45990</v>
      </c>
      <c r="B699" t="n">
        <v>1287.23</v>
      </c>
      <c r="C699" t="n">
        <v>1345.56</v>
      </c>
      <c r="D699" t="n">
        <v>1301.7</v>
      </c>
      <c r="E699" s="5">
        <f>ABS(C699-B699)/B699</f>
        <v/>
      </c>
      <c r="F699" s="5">
        <f>ABS(D699-B699)/B699</f>
        <v/>
      </c>
      <c r="G699">
        <f>IF(E699&lt;F699,"model","official")</f>
        <v/>
      </c>
    </row>
    <row r="700">
      <c r="A700" s="2" t="n">
        <v>45991</v>
      </c>
      <c r="B700" t="n">
        <v>1245.78</v>
      </c>
      <c r="C700" t="n">
        <v>1276.74</v>
      </c>
      <c r="D700" t="n">
        <v>1287.37</v>
      </c>
      <c r="E700" s="5">
        <f>ABS(C700-B700)/B700</f>
        <v/>
      </c>
      <c r="F700" s="5">
        <f>ABS(D700-B700)/B700</f>
        <v/>
      </c>
      <c r="G700">
        <f>IF(E700&lt;F700,"model","official")</f>
        <v/>
      </c>
    </row>
    <row r="701">
      <c r="A701" s="2" t="n">
        <v>45992</v>
      </c>
      <c r="B701" t="n">
        <v>1519.27</v>
      </c>
      <c r="C701" t="n">
        <v>1553.03</v>
      </c>
      <c r="D701" t="n">
        <v>1482.17</v>
      </c>
      <c r="E701" s="5">
        <f>ABS(C701-B701)/B701</f>
        <v/>
      </c>
      <c r="F701" s="5">
        <f>ABS(D701-B701)/B701</f>
        <v/>
      </c>
      <c r="G701">
        <f>IF(E701&lt;F701,"model","official")</f>
        <v/>
      </c>
    </row>
    <row r="702">
      <c r="A702" s="2" t="n">
        <v>45993</v>
      </c>
      <c r="B702" t="n">
        <v>1567.8</v>
      </c>
      <c r="C702" t="n">
        <v>1572.75</v>
      </c>
      <c r="D702" t="n">
        <v>1509.74</v>
      </c>
      <c r="E702" s="5">
        <f>ABS(C702-B702)/B702</f>
        <v/>
      </c>
      <c r="F702" s="5">
        <f>ABS(D702-B702)/B702</f>
        <v/>
      </c>
      <c r="G702">
        <f>IF(E702&lt;F702,"model","official")</f>
        <v/>
      </c>
    </row>
    <row r="703">
      <c r="A703" s="2" t="n">
        <v>45994</v>
      </c>
      <c r="B703" t="n">
        <v>1535.11</v>
      </c>
      <c r="C703" t="n">
        <v>1581.67</v>
      </c>
      <c r="D703" t="n">
        <v>1497.65</v>
      </c>
      <c r="E703" s="5">
        <f>ABS(C703-B703)/B703</f>
        <v/>
      </c>
      <c r="F703" s="5">
        <f>ABS(D703-B703)/B703</f>
        <v/>
      </c>
      <c r="G703">
        <f>IF(E703&lt;F703,"model","official")</f>
        <v/>
      </c>
    </row>
    <row r="704">
      <c r="A704" s="2" t="n">
        <v>45995</v>
      </c>
      <c r="B704" t="n">
        <v>1545.58</v>
      </c>
      <c r="C704" t="n">
        <v>1591.61</v>
      </c>
      <c r="D704" t="n">
        <v>1511.15</v>
      </c>
      <c r="E704" s="5">
        <f>ABS(C704-B704)/B704</f>
        <v/>
      </c>
      <c r="F704" s="5">
        <f>ABS(D704-B704)/B704</f>
        <v/>
      </c>
      <c r="G704">
        <f>IF(E704&lt;F704,"model","official")</f>
        <v/>
      </c>
    </row>
    <row r="705">
      <c r="A705" s="2" t="n">
        <v>45996</v>
      </c>
      <c r="B705" t="n">
        <v>1505.1</v>
      </c>
      <c r="C705" t="n">
        <v>1564.94</v>
      </c>
      <c r="D705" t="n">
        <v>1504.46</v>
      </c>
      <c r="E705" s="5">
        <f>ABS(C705-B705)/B705</f>
        <v/>
      </c>
      <c r="F705" s="5">
        <f>ABS(D705-B705)/B705</f>
        <v/>
      </c>
      <c r="G705">
        <f>IF(E705&lt;F705,"model","official")</f>
        <v/>
      </c>
    </row>
    <row r="706">
      <c r="A706" s="2" t="n">
        <v>45997</v>
      </c>
      <c r="B706" t="n">
        <v>1319.18</v>
      </c>
      <c r="C706" t="n">
        <v>1343.28</v>
      </c>
      <c r="D706" t="n">
        <v>1310.79</v>
      </c>
      <c r="E706" s="5">
        <f>ABS(C706-B706)/B706</f>
        <v/>
      </c>
      <c r="F706" s="5">
        <f>ABS(D706-B706)/B706</f>
        <v/>
      </c>
      <c r="G706">
        <f>IF(E706&lt;F706,"model","official")</f>
        <v/>
      </c>
    </row>
    <row r="707">
      <c r="A707" s="2" t="n">
        <v>45998</v>
      </c>
      <c r="B707" t="n">
        <v>1190.54</v>
      </c>
      <c r="C707" t="n">
        <v>1267.83</v>
      </c>
      <c r="D707" t="n">
        <v>1282.43</v>
      </c>
      <c r="E707" s="5">
        <f>ABS(C707-B707)/B707</f>
        <v/>
      </c>
      <c r="F707" s="5">
        <f>ABS(D707-B707)/B707</f>
        <v/>
      </c>
      <c r="G707">
        <f>IF(E707&lt;F707,"model","official")</f>
        <v/>
      </c>
    </row>
    <row r="708">
      <c r="A708" s="2" t="n">
        <v>45999</v>
      </c>
      <c r="B708" t="n">
        <v>1481.84</v>
      </c>
      <c r="C708" t="n">
        <v>1557.51</v>
      </c>
      <c r="D708" t="n">
        <v>1400.27</v>
      </c>
      <c r="E708" s="5">
        <f>ABS(C708-B708)/B708</f>
        <v/>
      </c>
      <c r="F708" s="5">
        <f>ABS(D708-B708)/B708</f>
        <v/>
      </c>
      <c r="G708">
        <f>IF(E708&lt;F708,"model","official")</f>
        <v/>
      </c>
    </row>
    <row r="709">
      <c r="A709" s="2" t="n">
        <v>46000</v>
      </c>
      <c r="B709" t="n">
        <v>1468.41</v>
      </c>
      <c r="C709" t="n">
        <v>1581.02</v>
      </c>
      <c r="D709" t="n">
        <v>1431.72</v>
      </c>
      <c r="E709" s="5">
        <f>ABS(C709-B709)/B709</f>
        <v/>
      </c>
      <c r="F709" s="5">
        <f>ABS(D709-B709)/B709</f>
        <v/>
      </c>
      <c r="G709">
        <f>IF(E709&lt;F709,"model","official")</f>
        <v/>
      </c>
    </row>
    <row r="710">
      <c r="A710" s="2" t="n">
        <v>46001</v>
      </c>
      <c r="B710" t="n">
        <v>1506.56</v>
      </c>
      <c r="C710" t="n">
        <v>1583.01</v>
      </c>
      <c r="D710" t="n">
        <v>1466.58</v>
      </c>
      <c r="E710" s="5">
        <f>ABS(C710-B710)/B710</f>
        <v/>
      </c>
      <c r="F710" s="5">
        <f>ABS(D710-B710)/B710</f>
        <v/>
      </c>
      <c r="G710">
        <f>IF(E710&lt;F710,"model","official")</f>
        <v/>
      </c>
    </row>
    <row r="711">
      <c r="A711" s="2" t="n">
        <v>46002</v>
      </c>
      <c r="B711" t="n">
        <v>1524.92</v>
      </c>
      <c r="C711" t="n">
        <v>1565.4</v>
      </c>
      <c r="D711" t="n">
        <v>1451.66</v>
      </c>
      <c r="E711" s="5">
        <f>ABS(C711-B711)/B711</f>
        <v/>
      </c>
      <c r="F711" s="5">
        <f>ABS(D711-B711)/B711</f>
        <v/>
      </c>
      <c r="G711">
        <f>IF(E711&lt;F711,"model","official")</f>
        <v/>
      </c>
    </row>
    <row r="712">
      <c r="A712" s="2" t="n">
        <v>46003</v>
      </c>
      <c r="B712" t="n">
        <v>1436.42</v>
      </c>
      <c r="C712" t="n">
        <v>1532.48</v>
      </c>
      <c r="D712" t="n">
        <v>1432.32</v>
      </c>
      <c r="E712" s="5">
        <f>ABS(C712-B712)/B712</f>
        <v/>
      </c>
      <c r="F712" s="5">
        <f>ABS(D712-B712)/B712</f>
        <v/>
      </c>
      <c r="G712">
        <f>IF(E712&lt;F712,"model","official")</f>
        <v/>
      </c>
    </row>
    <row r="713">
      <c r="A713" s="2" t="n">
        <v>46004</v>
      </c>
      <c r="B713" t="n">
        <v>1303.27</v>
      </c>
      <c r="C713" t="n">
        <v>1318.33</v>
      </c>
      <c r="D713" t="n">
        <v>1287.75</v>
      </c>
      <c r="E713" s="5">
        <f>ABS(C713-B713)/B713</f>
        <v/>
      </c>
      <c r="F713" s="5">
        <f>ABS(D713-B713)/B713</f>
        <v/>
      </c>
      <c r="G713">
        <f>IF(E713&lt;F713,"model","official")</f>
        <v/>
      </c>
    </row>
    <row r="714">
      <c r="A714" s="2" t="n">
        <v>46005</v>
      </c>
      <c r="B714" t="n">
        <v>1273.82</v>
      </c>
      <c r="C714" t="n">
        <v>1235.29</v>
      </c>
      <c r="D714" t="n">
        <v>1238.51</v>
      </c>
      <c r="E714" s="5">
        <f>ABS(C714-B714)/B714</f>
        <v/>
      </c>
      <c r="F714" s="5">
        <f>ABS(D714-B714)/B714</f>
        <v/>
      </c>
      <c r="G714">
        <f>IF(E714&lt;F714,"model","official")</f>
        <v/>
      </c>
    </row>
    <row r="715">
      <c r="A715" s="2" t="n">
        <v>46006</v>
      </c>
      <c r="B715" t="n">
        <v>1482.24</v>
      </c>
      <c r="C715" t="n">
        <v>1511.85</v>
      </c>
      <c r="D715" t="n">
        <v>1459.06</v>
      </c>
      <c r="E715" s="5">
        <f>ABS(C715-B715)/B715</f>
        <v/>
      </c>
      <c r="F715" s="5">
        <f>ABS(D715-B715)/B715</f>
        <v/>
      </c>
      <c r="G715">
        <f>IF(E715&lt;F715,"model","official")</f>
        <v/>
      </c>
    </row>
    <row r="716">
      <c r="A716" s="2" t="n">
        <v>46007</v>
      </c>
      <c r="B716" t="n">
        <v>1472.26</v>
      </c>
      <c r="C716" t="n">
        <v>1552.5</v>
      </c>
      <c r="D716" t="n">
        <v>1488.1</v>
      </c>
      <c r="E716" s="5">
        <f>ABS(C716-B716)/B716</f>
        <v/>
      </c>
      <c r="F716" s="5">
        <f>ABS(D716-B716)/B716</f>
        <v/>
      </c>
      <c r="G716">
        <f>IF(E716&lt;F716,"model","official")</f>
        <v/>
      </c>
    </row>
    <row r="717">
      <c r="A717" s="2" t="n">
        <v>46008</v>
      </c>
      <c r="B717" t="n">
        <v>1455.82</v>
      </c>
      <c r="C717" t="n">
        <v>1562.85</v>
      </c>
      <c r="D717" t="n">
        <v>1447.04</v>
      </c>
      <c r="E717" s="5">
        <f>ABS(C717-B717)/B717</f>
        <v/>
      </c>
      <c r="F717" s="5">
        <f>ABS(D717-B717)/B717</f>
        <v/>
      </c>
      <c r="G717">
        <f>IF(E717&lt;F717,"model","official")</f>
        <v/>
      </c>
    </row>
    <row r="718">
      <c r="A718" s="2" t="n">
        <v>46009</v>
      </c>
      <c r="B718" t="n">
        <v>1447.39</v>
      </c>
      <c r="C718" t="n">
        <v>1560.96</v>
      </c>
      <c r="D718" t="n">
        <v>1422.62</v>
      </c>
      <c r="E718" s="5">
        <f>ABS(C718-B718)/B718</f>
        <v/>
      </c>
      <c r="F718" s="5">
        <f>ABS(D718-B718)/B718</f>
        <v/>
      </c>
      <c r="G718">
        <f>IF(E718&lt;F718,"model","official")</f>
        <v/>
      </c>
    </row>
    <row r="719">
      <c r="A719" s="2" t="n">
        <v>46010</v>
      </c>
      <c r="B719" t="n">
        <v>1399.19</v>
      </c>
      <c r="C719" t="n">
        <v>1522.7</v>
      </c>
      <c r="D719" t="n">
        <v>1405.97</v>
      </c>
      <c r="E719" s="5">
        <f>ABS(C719-B719)/B719</f>
        <v/>
      </c>
      <c r="F719" s="5">
        <f>ABS(D719-B719)/B719</f>
        <v/>
      </c>
      <c r="G719">
        <f>IF(E719&lt;F719,"model","official")</f>
        <v/>
      </c>
    </row>
    <row r="720">
      <c r="A720" s="2" t="n">
        <v>46011</v>
      </c>
      <c r="B720" t="n">
        <v>1196.57</v>
      </c>
      <c r="C720" t="n">
        <v>1304.41</v>
      </c>
      <c r="D720" t="n">
        <v>1225.02</v>
      </c>
      <c r="E720" s="5">
        <f>ABS(C720-B720)/B720</f>
        <v/>
      </c>
      <c r="F720" s="5">
        <f>ABS(D720-B720)/B720</f>
        <v/>
      </c>
      <c r="G720">
        <f>IF(E720&lt;F720,"model","official")</f>
        <v/>
      </c>
    </row>
    <row r="721">
      <c r="A721" s="2" t="n">
        <v>46012</v>
      </c>
      <c r="B721" t="n">
        <v>1151.74</v>
      </c>
      <c r="C721" t="n">
        <v>1229.72</v>
      </c>
      <c r="D721" t="n">
        <v>1229.74</v>
      </c>
      <c r="E721" s="5">
        <f>ABS(C721-B721)/B721</f>
        <v/>
      </c>
      <c r="F721" s="5">
        <f>ABS(D721-B721)/B721</f>
        <v/>
      </c>
      <c r="G721">
        <f>IF(E721&lt;F721,"model","official")</f>
        <v/>
      </c>
    </row>
    <row r="722">
      <c r="A722" s="2" t="n">
        <v>46013</v>
      </c>
      <c r="B722" t="n">
        <v>1329.53</v>
      </c>
      <c r="C722" t="n">
        <v>1487.47</v>
      </c>
      <c r="D722" t="n">
        <v>1419.92</v>
      </c>
      <c r="E722" s="5">
        <f>ABS(C722-B722)/B722</f>
        <v/>
      </c>
      <c r="F722" s="5">
        <f>ABS(D722-B722)/B722</f>
        <v/>
      </c>
      <c r="G722">
        <f>IF(E722&lt;F722,"model","official")</f>
        <v/>
      </c>
    </row>
    <row r="723">
      <c r="A723" s="2" t="n">
        <v>46014</v>
      </c>
      <c r="B723" t="n">
        <v>1338.05</v>
      </c>
      <c r="C723" t="n">
        <v>1496.97</v>
      </c>
      <c r="D723" t="n">
        <v>1404.05</v>
      </c>
      <c r="E723" s="5">
        <f>ABS(C723-B723)/B723</f>
        <v/>
      </c>
      <c r="F723" s="5">
        <f>ABS(D723-B723)/B723</f>
        <v/>
      </c>
      <c r="G723">
        <f>IF(E723&lt;F723,"model","official")</f>
        <v/>
      </c>
    </row>
    <row r="724">
      <c r="A724" s="2" t="n">
        <v>46015</v>
      </c>
      <c r="B724" t="n">
        <v>1221.42</v>
      </c>
      <c r="C724" t="n">
        <v>1342.05</v>
      </c>
      <c r="D724" t="n">
        <v>1267.71</v>
      </c>
      <c r="E724" s="5">
        <f>ABS(C724-B724)/B724</f>
        <v/>
      </c>
      <c r="F724" s="5">
        <f>ABS(D724-B724)/B724</f>
        <v/>
      </c>
      <c r="G724">
        <f>IF(E724&lt;F724,"model","official")</f>
        <v/>
      </c>
    </row>
    <row r="725">
      <c r="A725" s="2" t="n">
        <v>46016</v>
      </c>
      <c r="B725" t="n">
        <v>1154.46</v>
      </c>
      <c r="C725" t="n">
        <v>1080.91</v>
      </c>
      <c r="D725" t="n">
        <v>1107.01</v>
      </c>
      <c r="E725" s="5">
        <f>ABS(C725-B725)/B725</f>
        <v/>
      </c>
      <c r="F725" s="5">
        <f>ABS(D725-B725)/B725</f>
        <v/>
      </c>
      <c r="G725">
        <f>IF(E725&lt;F725,"model","official")</f>
        <v/>
      </c>
    </row>
    <row r="726">
      <c r="A726" s="2" t="n">
        <v>46017</v>
      </c>
      <c r="B726" t="n">
        <v>1155.56</v>
      </c>
      <c r="C726" t="n">
        <v>927.25</v>
      </c>
      <c r="D726" t="n">
        <v>1126.29</v>
      </c>
      <c r="E726" s="5">
        <f>ABS(C726-B726)/B726</f>
        <v/>
      </c>
      <c r="F726" s="5">
        <f>ABS(D726-B726)/B726</f>
        <v/>
      </c>
      <c r="G726">
        <f>IF(E726&lt;F726,"model","official")</f>
        <v/>
      </c>
    </row>
    <row r="727">
      <c r="A727" s="2" t="n">
        <v>46018</v>
      </c>
      <c r="B727" t="n">
        <v>1238.45</v>
      </c>
      <c r="C727" t="n">
        <v>1054.8</v>
      </c>
      <c r="D727" t="n">
        <v>1177.61</v>
      </c>
      <c r="E727" s="5">
        <f>ABS(C727-B727)/B727</f>
        <v/>
      </c>
      <c r="F727" s="5">
        <f>ABS(D727-B727)/B727</f>
        <v/>
      </c>
      <c r="G727">
        <f>IF(E727&lt;F727,"model","official")</f>
        <v/>
      </c>
    </row>
    <row r="728">
      <c r="A728" s="2" t="n">
        <v>46019</v>
      </c>
      <c r="B728" t="n">
        <v>1199.34</v>
      </c>
      <c r="C728" t="n">
        <v>970.71</v>
      </c>
      <c r="D728" t="n">
        <v>1198.68</v>
      </c>
      <c r="E728" s="5">
        <f>ABS(C728-B728)/B728</f>
        <v/>
      </c>
      <c r="F728" s="5">
        <f>ABS(D728-B728)/B728</f>
        <v/>
      </c>
      <c r="G728">
        <f>IF(E728&lt;F728,"model","official")</f>
        <v/>
      </c>
    </row>
    <row r="729">
      <c r="A729" s="2" t="n">
        <v>46020</v>
      </c>
      <c r="B729" t="n">
        <v>1319.11</v>
      </c>
      <c r="C729" t="n">
        <v>1191.54</v>
      </c>
      <c r="D729" t="n">
        <v>1415.85</v>
      </c>
      <c r="E729" s="5">
        <f>ABS(C729-B729)/B729</f>
        <v/>
      </c>
      <c r="F729" s="5">
        <f>ABS(D729-B729)/B729</f>
        <v/>
      </c>
      <c r="G729">
        <f>IF(E729&lt;F729,"model","official")</f>
        <v/>
      </c>
    </row>
    <row r="730">
      <c r="A730" s="2" t="n">
        <v>46021</v>
      </c>
      <c r="B730" t="n">
        <v>1310.28</v>
      </c>
      <c r="C730" t="n">
        <v>1255.17</v>
      </c>
      <c r="D730" t="n">
        <v>1405.85</v>
      </c>
      <c r="E730" s="5">
        <f>ABS(C730-B730)/B730</f>
        <v/>
      </c>
      <c r="F730" s="5">
        <f>ABS(D730-B730)/B730</f>
        <v/>
      </c>
      <c r="G730">
        <f>IF(E730&lt;F730,"model","official")</f>
        <v/>
      </c>
    </row>
    <row r="731">
      <c r="A731" s="2" t="n">
        <v>46022</v>
      </c>
      <c r="B731" t="n">
        <v>1255.28</v>
      </c>
      <c r="C731" t="n">
        <v>1256.51</v>
      </c>
      <c r="D731" t="n">
        <v>1317.53</v>
      </c>
      <c r="E731" s="5">
        <f>ABS(C731-B731)/B731</f>
        <v/>
      </c>
      <c r="F731" s="5">
        <f>ABS(D731-B731)/B731</f>
        <v/>
      </c>
      <c r="G731">
        <f>IF(E731&lt;F731,"model","official")</f>
        <v/>
      </c>
    </row>
    <row r="732">
      <c r="A732" s="2" t="n">
        <v>46023</v>
      </c>
      <c r="B732" t="n">
        <v>1170.19</v>
      </c>
      <c r="C732" t="n">
        <v>1014.27</v>
      </c>
      <c r="D732" t="n">
        <v>1193</v>
      </c>
      <c r="E732" s="5">
        <f>ABS(C732-B732)/B732</f>
        <v/>
      </c>
      <c r="F732" s="5">
        <f>ABS(D732-B732)/B732</f>
        <v/>
      </c>
      <c r="G732">
        <f>IF(E732&lt;F732,"model","official")</f>
        <v/>
      </c>
    </row>
    <row r="733">
      <c r="A733" s="2" t="n">
        <v>46024</v>
      </c>
      <c r="B733" t="n">
        <v>1328.46</v>
      </c>
      <c r="C733" t="n">
        <v>1192.25</v>
      </c>
      <c r="D733" t="n">
        <v>1412.95</v>
      </c>
      <c r="E733" s="5">
        <f>ABS(C733-B733)/B733</f>
        <v/>
      </c>
      <c r="F733" s="5">
        <f>ABS(D733-B733)/B733</f>
        <v/>
      </c>
      <c r="G733">
        <f>IF(E733&lt;F733,"model","official")</f>
        <v/>
      </c>
    </row>
    <row r="734">
      <c r="A734" s="2" t="n">
        <v>46025</v>
      </c>
      <c r="B734" t="n">
        <v>1322.96</v>
      </c>
      <c r="C734" t="n">
        <v>1143.3</v>
      </c>
      <c r="D734" t="n">
        <v>1227.69</v>
      </c>
      <c r="E734" s="5">
        <f>ABS(C734-B734)/B734</f>
        <v/>
      </c>
      <c r="F734" s="5">
        <f>ABS(D734-B734)/B734</f>
        <v/>
      </c>
      <c r="G734">
        <f>IF(E734&lt;F734,"model","official")</f>
        <v/>
      </c>
    </row>
    <row r="735">
      <c r="A735" s="2" t="n">
        <v>46026</v>
      </c>
      <c r="B735" t="n">
        <v>1273.43</v>
      </c>
      <c r="C735" t="n">
        <v>1099.42</v>
      </c>
      <c r="D735" t="n">
        <v>1235.4</v>
      </c>
      <c r="E735" s="5">
        <f>ABS(C735-B735)/B735</f>
        <v/>
      </c>
      <c r="F735" s="5">
        <f>ABS(D735-B735)/B735</f>
        <v/>
      </c>
      <c r="G735">
        <f>IF(E735&lt;F735,"model","official")</f>
        <v/>
      </c>
    </row>
    <row r="736">
      <c r="A736" s="2" t="n">
        <v>46027</v>
      </c>
      <c r="B736" t="n">
        <v>1452.96</v>
      </c>
      <c r="C736" t="n">
        <v>1355.42</v>
      </c>
      <c r="D736" t="n">
        <v>1420.59</v>
      </c>
      <c r="E736" s="5">
        <f>ABS(C736-B736)/B736</f>
        <v/>
      </c>
      <c r="F736" s="5">
        <f>ABS(D736-B736)/B736</f>
        <v/>
      </c>
      <c r="G736">
        <f>IF(E736&lt;F736,"model","official")</f>
        <v/>
      </c>
    </row>
    <row r="737">
      <c r="A737" s="2" t="n">
        <v>46028</v>
      </c>
      <c r="B737" t="n">
        <v>1481.81</v>
      </c>
      <c r="C737" t="n">
        <v>1515.04</v>
      </c>
      <c r="D737" t="n">
        <v>1411.49</v>
      </c>
      <c r="E737" s="5">
        <f>ABS(C737-B737)/B737</f>
        <v/>
      </c>
      <c r="F737" s="5">
        <f>ABS(D737-B737)/B737</f>
        <v/>
      </c>
      <c r="G737">
        <f>IF(E737&lt;F737,"model","official")</f>
        <v/>
      </c>
    </row>
    <row r="738">
      <c r="A738" s="2" t="n">
        <v>46029</v>
      </c>
      <c r="B738" t="n">
        <v>1622.11</v>
      </c>
      <c r="C738" t="n">
        <v>1417.24</v>
      </c>
      <c r="D738" t="n">
        <v>1463.53</v>
      </c>
      <c r="E738" s="5">
        <f>ABS(C738-B738)/B738</f>
        <v/>
      </c>
      <c r="F738" s="5">
        <f>ABS(D738-B738)/B738</f>
        <v/>
      </c>
      <c r="G738">
        <f>IF(E738&lt;F738,"model","official")</f>
        <v/>
      </c>
    </row>
    <row r="739">
      <c r="A739" s="2" t="n">
        <v>46030</v>
      </c>
      <c r="B739" t="n">
        <v>1621.06</v>
      </c>
      <c r="C739" t="n">
        <v>1438.49</v>
      </c>
      <c r="D739" t="n">
        <v>1453.28</v>
      </c>
      <c r="E739" s="5">
        <f>ABS(C739-B739)/B739</f>
        <v/>
      </c>
      <c r="F739" s="5">
        <f>ABS(D739-B739)/B739</f>
        <v/>
      </c>
      <c r="G739">
        <f>IF(E739&lt;F739,"model","official")</f>
        <v/>
      </c>
    </row>
    <row r="740">
      <c r="A740" s="2" t="n">
        <v>46031</v>
      </c>
      <c r="B740" t="n">
        <v>1594.55</v>
      </c>
      <c r="C740" t="n">
        <v>1473.13</v>
      </c>
      <c r="D740" t="n">
        <v>1448.05</v>
      </c>
      <c r="E740" s="5">
        <f>ABS(C740-B740)/B740</f>
        <v/>
      </c>
      <c r="F740" s="5">
        <f>ABS(D740-B740)/B740</f>
        <v/>
      </c>
      <c r="G740">
        <f>IF(E740&lt;F740,"model","official")</f>
        <v/>
      </c>
    </row>
    <row r="741">
      <c r="A741" s="2" t="n">
        <v>46032</v>
      </c>
      <c r="B741" t="n">
        <v>1427.41</v>
      </c>
      <c r="C741" t="n">
        <v>1330.34</v>
      </c>
      <c r="D741" t="n">
        <v>1306.41</v>
      </c>
      <c r="E741" s="5">
        <f>ABS(C741-B741)/B741</f>
        <v/>
      </c>
      <c r="F741" s="5">
        <f>ABS(D741-B741)/B741</f>
        <v/>
      </c>
      <c r="G741">
        <f>IF(E741&lt;F741,"model","official")</f>
        <v/>
      </c>
    </row>
    <row r="742">
      <c r="A742" s="2" t="n">
        <v>46033</v>
      </c>
      <c r="B742" t="n">
        <v>1390.89</v>
      </c>
      <c r="C742" t="n">
        <v>1286.43</v>
      </c>
      <c r="D742" t="n">
        <v>1265.48</v>
      </c>
      <c r="E742" s="5">
        <f>ABS(C742-B742)/B742</f>
        <v/>
      </c>
      <c r="F742" s="5">
        <f>ABS(D742-B742)/B742</f>
        <v/>
      </c>
      <c r="G742">
        <f>IF(E742&lt;F742,"model","official")</f>
        <v/>
      </c>
    </row>
    <row r="743">
      <c r="A743" s="2" t="n">
        <v>46034</v>
      </c>
      <c r="B743" t="n">
        <v>1599.43</v>
      </c>
      <c r="C743" t="n">
        <v>1588.34</v>
      </c>
      <c r="D743" t="n">
        <v>1489.78</v>
      </c>
      <c r="E743" s="5">
        <f>ABS(C743-B743)/B743</f>
        <v/>
      </c>
      <c r="F743" s="5">
        <f>ABS(D743-B743)/B743</f>
        <v/>
      </c>
      <c r="G743">
        <f>IF(E743&lt;F743,"model","official")</f>
        <v/>
      </c>
    </row>
    <row r="744">
      <c r="A744" s="2" t="n">
        <v>46035</v>
      </c>
      <c r="B744" t="n">
        <v>1544.52</v>
      </c>
      <c r="C744" t="n">
        <v>1636.86</v>
      </c>
      <c r="D744" t="n">
        <v>1564.02</v>
      </c>
      <c r="E744" s="5">
        <f>ABS(C744-B744)/B744</f>
        <v/>
      </c>
      <c r="F744" s="5">
        <f>ABS(D744-B744)/B744</f>
        <v/>
      </c>
      <c r="G744">
        <f>IF(E744&lt;F744,"model","official")</f>
        <v/>
      </c>
    </row>
    <row r="745">
      <c r="A745" s="2" t="n">
        <v>46036</v>
      </c>
      <c r="B745" t="n">
        <v>1552.59</v>
      </c>
      <c r="C745" t="n">
        <v>1671.94</v>
      </c>
      <c r="D745" t="n">
        <v>1532.4</v>
      </c>
      <c r="E745" s="5">
        <f>ABS(C745-B745)/B745</f>
        <v/>
      </c>
      <c r="F745" s="5">
        <f>ABS(D745-B745)/B745</f>
        <v/>
      </c>
      <c r="G745">
        <f>IF(E745&lt;F745,"model","official")</f>
        <v/>
      </c>
    </row>
    <row r="746">
      <c r="A746" s="2" t="n">
        <v>46037</v>
      </c>
      <c r="B746" t="n">
        <v>1522.89</v>
      </c>
      <c r="C746" t="n">
        <v>1679.67</v>
      </c>
      <c r="D746" t="n">
        <v>1531.84</v>
      </c>
      <c r="E746" s="5">
        <f>ABS(C746-B746)/B746</f>
        <v/>
      </c>
      <c r="F746" s="5">
        <f>ABS(D746-B746)/B746</f>
        <v/>
      </c>
      <c r="G746">
        <f>IF(E746&lt;F746,"model","official")</f>
        <v/>
      </c>
    </row>
    <row r="747">
      <c r="A747" s="2" t="n">
        <v>46038</v>
      </c>
      <c r="B747" t="n">
        <v>1506.74</v>
      </c>
      <c r="C747" t="n">
        <v>1638.27</v>
      </c>
      <c r="D747" t="n">
        <v>1512.5</v>
      </c>
      <c r="E747" s="5">
        <f>ABS(C747-B747)/B747</f>
        <v/>
      </c>
      <c r="F747" s="5">
        <f>ABS(D747-B747)/B747</f>
        <v/>
      </c>
      <c r="G747">
        <f>IF(E747&lt;F747,"model","official")</f>
        <v/>
      </c>
    </row>
    <row r="748">
      <c r="A748" s="2" t="n">
        <v>46039</v>
      </c>
      <c r="B748" t="n">
        <v>1327.26</v>
      </c>
      <c r="C748" t="n">
        <v>1397.75</v>
      </c>
      <c r="D748" t="n">
        <v>1338</v>
      </c>
      <c r="E748" s="5">
        <f>ABS(C748-B748)/B748</f>
        <v/>
      </c>
      <c r="F748" s="5">
        <f>ABS(D748-B748)/B748</f>
        <v/>
      </c>
      <c r="G748">
        <f>IF(E748&lt;F748,"model","official")</f>
        <v/>
      </c>
    </row>
    <row r="749">
      <c r="A749" s="2" t="n">
        <v>46040</v>
      </c>
      <c r="B749" t="n">
        <v>1299.18</v>
      </c>
      <c r="C749" t="n">
        <v>1307.8</v>
      </c>
      <c r="D749" t="n">
        <v>1340.89</v>
      </c>
      <c r="E749" s="5">
        <f>ABS(C749-B749)/B749</f>
        <v/>
      </c>
      <c r="F749" s="5">
        <f>ABS(D749-B749)/B749</f>
        <v/>
      </c>
      <c r="G749">
        <f>IF(E749&lt;F749,"model","official")</f>
        <v/>
      </c>
    </row>
    <row r="750">
      <c r="A750" s="2" t="n">
        <v>46041</v>
      </c>
      <c r="B750" t="n">
        <v>1569.26</v>
      </c>
      <c r="C750" t="n">
        <v>1584.54</v>
      </c>
      <c r="D750" t="n">
        <v>1534.25</v>
      </c>
      <c r="E750" s="5">
        <f>ABS(C750-B750)/B750</f>
        <v/>
      </c>
      <c r="F750" s="5">
        <f>ABS(D750-B750)/B750</f>
        <v/>
      </c>
      <c r="G750">
        <f>IF(E750&lt;F750,"model","official")</f>
        <v/>
      </c>
    </row>
    <row r="751">
      <c r="A751" s="2" t="n">
        <v>46042</v>
      </c>
      <c r="B751" t="n">
        <v>1576.03</v>
      </c>
      <c r="C751" t="n">
        <v>1598.4</v>
      </c>
      <c r="D751" t="n">
        <v>1549.83</v>
      </c>
      <c r="E751" s="5">
        <f>ABS(C751-B751)/B751</f>
        <v/>
      </c>
      <c r="F751" s="5">
        <f>ABS(D751-B751)/B751</f>
        <v/>
      </c>
      <c r="G751">
        <f>IF(E751&lt;F751,"model","official")</f>
        <v/>
      </c>
    </row>
    <row r="752">
      <c r="A752" s="2" t="n">
        <v>46043</v>
      </c>
      <c r="B752" t="n">
        <v>1600.42</v>
      </c>
      <c r="C752" t="n">
        <v>1601.61</v>
      </c>
      <c r="D752" t="n">
        <v>1534.97</v>
      </c>
      <c r="E752" s="5">
        <f>ABS(C752-B752)/B752</f>
        <v/>
      </c>
      <c r="F752" s="5">
        <f>ABS(D752-B752)/B752</f>
        <v/>
      </c>
      <c r="G752">
        <f>IF(E752&lt;F752,"model","official")</f>
        <v/>
      </c>
    </row>
    <row r="753">
      <c r="A753" s="2" t="n">
        <v>46044</v>
      </c>
      <c r="B753" t="n">
        <v>1653.03</v>
      </c>
      <c r="C753" t="n">
        <v>1603.32</v>
      </c>
      <c r="D753" t="n">
        <v>1531.95</v>
      </c>
      <c r="E753" s="5">
        <f>ABS(C753-B753)/B753</f>
        <v/>
      </c>
      <c r="F753" s="5">
        <f>ABS(D753-B753)/B753</f>
        <v/>
      </c>
      <c r="G753">
        <f>IF(E753&lt;F753,"model","official")</f>
        <v/>
      </c>
    </row>
    <row r="754">
      <c r="A754" s="2" t="n">
        <v>46045</v>
      </c>
      <c r="B754" t="n">
        <v>1616.57</v>
      </c>
      <c r="C754" t="n">
        <v>1580.57</v>
      </c>
      <c r="D754" t="n">
        <v>1538.6</v>
      </c>
      <c r="E754" s="5">
        <f>ABS(C754-B754)/B754</f>
        <v/>
      </c>
      <c r="F754" s="5">
        <f>ABS(D754-B754)/B754</f>
        <v/>
      </c>
      <c r="G754">
        <f>IF(E754&lt;F754,"model","official")</f>
        <v/>
      </c>
    </row>
    <row r="755">
      <c r="A755" s="2" t="n">
        <v>46046</v>
      </c>
      <c r="B755" t="n">
        <v>1400.92</v>
      </c>
      <c r="C755" t="n">
        <v>1375.93</v>
      </c>
      <c r="D755" t="n">
        <v>1339.22</v>
      </c>
      <c r="E755" s="5">
        <f>ABS(C755-B755)/B755</f>
        <v/>
      </c>
      <c r="F755" s="5">
        <f>ABS(D755-B755)/B755</f>
        <v/>
      </c>
      <c r="G755">
        <f>IF(E755&lt;F755,"model","official")</f>
        <v/>
      </c>
    </row>
    <row r="756">
      <c r="A756" s="2" t="n">
        <v>46047</v>
      </c>
      <c r="B756" t="n">
        <v>1353.47</v>
      </c>
      <c r="C756" t="n">
        <v>1310.73</v>
      </c>
      <c r="D756" t="n">
        <v>1291.43</v>
      </c>
      <c r="E756" s="5">
        <f>ABS(C756-B756)/B756</f>
        <v/>
      </c>
      <c r="F756" s="5">
        <f>ABS(D756-B756)/B756</f>
        <v/>
      </c>
      <c r="G756">
        <f>IF(E756&lt;F756,"model","official")</f>
        <v/>
      </c>
    </row>
    <row r="757">
      <c r="A757" s="2" t="n">
        <v>46048</v>
      </c>
      <c r="B757" t="n">
        <v>1604.44</v>
      </c>
      <c r="C757" t="n">
        <v>1615.86</v>
      </c>
      <c r="D757" t="n">
        <v>1533.5</v>
      </c>
      <c r="E757" s="5">
        <f>ABS(C757-B757)/B757</f>
        <v/>
      </c>
      <c r="F757" s="5">
        <f>ABS(D757-B757)/B757</f>
        <v/>
      </c>
      <c r="G757">
        <f>IF(E757&lt;F757,"model","official")</f>
        <v/>
      </c>
    </row>
    <row r="758">
      <c r="A758" s="2" t="n">
        <v>46049</v>
      </c>
      <c r="B758" t="n">
        <v>1592.42</v>
      </c>
      <c r="C758" t="n">
        <v>1654.2</v>
      </c>
      <c r="D758" t="n">
        <v>1555.17</v>
      </c>
      <c r="E758" s="5">
        <f>ABS(C758-B758)/B758</f>
        <v/>
      </c>
      <c r="F758" s="5">
        <f>ABS(D758-B758)/B758</f>
        <v/>
      </c>
      <c r="G758">
        <f>IF(E758&lt;F758,"model","official")</f>
        <v/>
      </c>
    </row>
    <row r="759">
      <c r="A759" s="2" t="n">
        <v>46050</v>
      </c>
      <c r="B759" t="n">
        <v>1615.92</v>
      </c>
      <c r="C759" t="n">
        <v>1668.63</v>
      </c>
      <c r="D759" t="n">
        <v>1558.66</v>
      </c>
      <c r="E759" s="5">
        <f>ABS(C759-B759)/B759</f>
        <v/>
      </c>
      <c r="F759" s="5">
        <f>ABS(D759-B759)/B759</f>
        <v/>
      </c>
      <c r="G759">
        <f>IF(E759&lt;F759,"model","official")</f>
        <v/>
      </c>
    </row>
    <row r="760">
      <c r="A760" s="2" t="n">
        <v>46051</v>
      </c>
      <c r="B760" t="n">
        <v>1659.66</v>
      </c>
      <c r="C760" t="n">
        <v>1671.94</v>
      </c>
      <c r="D760" t="n">
        <v>1554.65</v>
      </c>
      <c r="E760" s="5">
        <f>ABS(C760-B760)/B760</f>
        <v/>
      </c>
      <c r="F760" s="5">
        <f>ABS(D760-B760)/B760</f>
        <v/>
      </c>
      <c r="G760">
        <f>IF(E760&lt;F760,"model","official")</f>
        <v/>
      </c>
    </row>
    <row r="761">
      <c r="A761" s="2" t="n">
        <v>46052</v>
      </c>
      <c r="B761" t="n">
        <v>1607.27</v>
      </c>
      <c r="C761" t="n">
        <v>1642.42</v>
      </c>
      <c r="D761" t="n">
        <v>1543.65</v>
      </c>
      <c r="E761" s="5">
        <f>ABS(C761-B761)/B761</f>
        <v/>
      </c>
      <c r="F761" s="5">
        <f>ABS(D761-B761)/B761</f>
        <v/>
      </c>
      <c r="G761">
        <f>IF(E761&lt;F761,"model","official")</f>
        <v/>
      </c>
    </row>
    <row r="762">
      <c r="A762" s="2" t="n">
        <v>46053</v>
      </c>
      <c r="B762" t="n">
        <v>1403.91</v>
      </c>
      <c r="C762" t="n">
        <v>1412.05</v>
      </c>
      <c r="D762" t="n">
        <v>1377.37</v>
      </c>
      <c r="E762" s="5">
        <f>ABS(C762-B762)/B762</f>
        <v/>
      </c>
      <c r="F762" s="5">
        <f>ABS(D762-B762)/B762</f>
        <v/>
      </c>
      <c r="G762">
        <f>IF(E762&lt;F762,"model","official")</f>
        <v/>
      </c>
    </row>
    <row r="763">
      <c r="A763" s="2" t="n">
        <v>46054</v>
      </c>
      <c r="B763" t="n">
        <v>1342.43</v>
      </c>
      <c r="C763" t="n">
        <v>1329.62</v>
      </c>
      <c r="D763" t="n">
        <v>1329.75</v>
      </c>
      <c r="E763" s="5">
        <f>ABS(C763-B763)/B763</f>
        <v/>
      </c>
      <c r="F763" s="5">
        <f>ABS(D763-B763)/B763</f>
        <v/>
      </c>
      <c r="G763">
        <f>IF(E763&lt;F763,"model","official")</f>
        <v/>
      </c>
    </row>
    <row r="764">
      <c r="A764" s="2" t="n">
        <v>46055</v>
      </c>
      <c r="B764" t="n">
        <v>1596.65</v>
      </c>
      <c r="C764" t="n">
        <v>1626.79</v>
      </c>
      <c r="D764" t="n">
        <v>1554.39</v>
      </c>
      <c r="E764" s="5">
        <f>ABS(C764-B764)/B764</f>
        <v/>
      </c>
      <c r="F764" s="5">
        <f>ABS(D764-B764)/B764</f>
        <v/>
      </c>
      <c r="G764">
        <f>IF(E764&lt;F764,"model","official")</f>
        <v/>
      </c>
    </row>
    <row r="765">
      <c r="A765" s="2" t="n">
        <v>46056</v>
      </c>
      <c r="B765" t="n">
        <v>1660.41</v>
      </c>
      <c r="C765" t="n">
        <v>1652.59</v>
      </c>
      <c r="D765" t="n">
        <v>1559.41</v>
      </c>
      <c r="E765" s="5">
        <f>ABS(C765-B765)/B765</f>
        <v/>
      </c>
      <c r="F765" s="5">
        <f>ABS(D765-B765)/B765</f>
        <v/>
      </c>
      <c r="G765">
        <f>IF(E765&lt;F765,"model","official")</f>
        <v/>
      </c>
    </row>
    <row r="766">
      <c r="A766" s="2" t="n">
        <v>46057</v>
      </c>
      <c r="B766" t="n">
        <v>1628.25</v>
      </c>
      <c r="C766" t="n">
        <v>1660.33</v>
      </c>
      <c r="D766" t="n">
        <v>1536</v>
      </c>
      <c r="E766" s="5">
        <f>ABS(C766-B766)/B766</f>
        <v/>
      </c>
      <c r="F766" s="5">
        <f>ABS(D766-B766)/B766</f>
        <v/>
      </c>
      <c r="G766">
        <f>IF(E766&lt;F766,"model","official")</f>
        <v/>
      </c>
    </row>
    <row r="767">
      <c r="A767" s="2" t="n">
        <v>46058</v>
      </c>
      <c r="B767" t="n">
        <v>1625</v>
      </c>
      <c r="C767" t="n">
        <v>1670.66</v>
      </c>
      <c r="D767" t="n">
        <v>1531.14</v>
      </c>
      <c r="E767" s="5">
        <f>ABS(C767-B767)/B767</f>
        <v/>
      </c>
      <c r="F767" s="5">
        <f>ABS(D767-B767)/B767</f>
        <v/>
      </c>
      <c r="G767">
        <f>IF(E767&lt;F767,"model","official")</f>
        <v/>
      </c>
    </row>
    <row r="768">
      <c r="A768" s="2" t="n">
        <v>46059</v>
      </c>
      <c r="B768" t="n">
        <v>1569.24</v>
      </c>
      <c r="C768" t="n">
        <v>1639.88</v>
      </c>
      <c r="D768" t="n">
        <v>1558.46</v>
      </c>
      <c r="E768" s="5">
        <f>ABS(C768-B768)/B768</f>
        <v/>
      </c>
      <c r="F768" s="5">
        <f>ABS(D768-B768)/B768</f>
        <v/>
      </c>
      <c r="G768">
        <f>IF(E768&lt;F768,"model","official")</f>
        <v/>
      </c>
    </row>
    <row r="769">
      <c r="A769" s="2" t="n">
        <v>46060</v>
      </c>
      <c r="B769" t="n">
        <v>1341.05</v>
      </c>
      <c r="C769" t="n">
        <v>1404.95</v>
      </c>
      <c r="D769" t="n">
        <v>1348.99</v>
      </c>
      <c r="E769" s="5">
        <f>ABS(C769-B769)/B769</f>
        <v/>
      </c>
      <c r="F769" s="5">
        <f>ABS(D769-B769)/B769</f>
        <v/>
      </c>
      <c r="G769">
        <f>IF(E769&lt;F769,"model","official")</f>
        <v/>
      </c>
    </row>
    <row r="770">
      <c r="A770" s="2" t="n">
        <v>46061</v>
      </c>
      <c r="B770" t="n">
        <v>1286.76</v>
      </c>
      <c r="C770" t="n">
        <v>1318.91</v>
      </c>
      <c r="D770" t="n">
        <v>1293.5</v>
      </c>
      <c r="E770" s="5">
        <f>ABS(C770-B770)/B770</f>
        <v/>
      </c>
      <c r="F770" s="5">
        <f>ABS(D770-B770)/B770</f>
        <v/>
      </c>
      <c r="G770">
        <f>IF(E770&lt;F770,"model","official")</f>
        <v/>
      </c>
    </row>
    <row r="771">
      <c r="A771" s="2" t="n">
        <v>46062</v>
      </c>
      <c r="B771" t="n">
        <v>1500.87</v>
      </c>
      <c r="C771" t="n">
        <v>1604.27</v>
      </c>
      <c r="D771" t="n">
        <v>1523.77</v>
      </c>
      <c r="E771" s="5">
        <f>ABS(C771-B771)/B771</f>
        <v/>
      </c>
      <c r="F771" s="5">
        <f>ABS(D771-B771)/B771</f>
        <v/>
      </c>
      <c r="G771">
        <f>IF(E771&lt;F771,"model","official")</f>
        <v/>
      </c>
    </row>
    <row r="772">
      <c r="A772" s="2" t="n">
        <v>46063</v>
      </c>
      <c r="B772" t="n">
        <v>1514.65</v>
      </c>
      <c r="C772" t="n">
        <v>1625.84</v>
      </c>
      <c r="D772" t="n">
        <v>1554.05</v>
      </c>
      <c r="E772" s="5">
        <f>ABS(C772-B772)/B772</f>
        <v/>
      </c>
      <c r="F772" s="5">
        <f>ABS(D772-B772)/B772</f>
        <v/>
      </c>
      <c r="G772">
        <f>IF(E772&lt;F772,"model","official")</f>
        <v/>
      </c>
    </row>
    <row r="773">
      <c r="A773" s="2" t="n">
        <v>46064</v>
      </c>
      <c r="B773" t="n">
        <v>1519.4</v>
      </c>
      <c r="C773" t="n">
        <v>1618.33</v>
      </c>
      <c r="D773" t="n">
        <v>1517.16</v>
      </c>
      <c r="E773" s="5">
        <f>ABS(C773-B773)/B773</f>
        <v/>
      </c>
      <c r="F773" s="5">
        <f>ABS(D773-B773)/B773</f>
        <v/>
      </c>
      <c r="G773">
        <f>IF(E773&lt;F773,"model","official")</f>
        <v/>
      </c>
    </row>
    <row r="774">
      <c r="A774" s="2" t="n">
        <v>46065</v>
      </c>
      <c r="B774" t="n">
        <v>1537.41</v>
      </c>
      <c r="C774" t="n">
        <v>1595.39</v>
      </c>
      <c r="D774" t="n">
        <v>1509.62</v>
      </c>
      <c r="E774" s="5">
        <f>ABS(C774-B774)/B774</f>
        <v/>
      </c>
      <c r="F774" s="5">
        <f>ABS(D774-B774)/B774</f>
        <v/>
      </c>
      <c r="G774">
        <f>IF(E774&lt;F774,"model","official")</f>
        <v/>
      </c>
    </row>
    <row r="775">
      <c r="A775" s="2" t="n">
        <v>46066</v>
      </c>
      <c r="B775" t="n">
        <v>1502.28</v>
      </c>
      <c r="C775" t="n">
        <v>1548.38</v>
      </c>
      <c r="D775" t="n">
        <v>1506.55</v>
      </c>
      <c r="E775" s="5">
        <f>ABS(C775-B775)/B775</f>
        <v/>
      </c>
      <c r="F775" s="5">
        <f>ABS(D775-B775)/B775</f>
        <v/>
      </c>
      <c r="G775">
        <f>IF(E775&lt;F775,"model","official")</f>
        <v/>
      </c>
    </row>
    <row r="776">
      <c r="A776" s="2" t="n">
        <v>46067</v>
      </c>
      <c r="B776" t="n">
        <v>1335.3</v>
      </c>
      <c r="C776" t="n">
        <v>1318.68</v>
      </c>
      <c r="D776" t="n">
        <v>1304.6</v>
      </c>
      <c r="E776" s="5">
        <f>ABS(C776-B776)/B776</f>
        <v/>
      </c>
      <c r="F776" s="5">
        <f>ABS(D776-B776)/B776</f>
        <v/>
      </c>
      <c r="G776">
        <f>IF(E776&lt;F776,"model","official")</f>
        <v/>
      </c>
    </row>
    <row r="777">
      <c r="A777" s="2" t="n">
        <v>46068</v>
      </c>
      <c r="B777" t="n">
        <v>1269.4</v>
      </c>
      <c r="C777" t="n">
        <v>1234.44</v>
      </c>
      <c r="D777" t="n">
        <v>1289.06</v>
      </c>
      <c r="E777" s="5">
        <f>ABS(C777-B777)/B777</f>
        <v/>
      </c>
      <c r="F777" s="5">
        <f>ABS(D777-B777)/B777</f>
        <v/>
      </c>
      <c r="G777">
        <f>IF(E777&lt;F777,"model","official")</f>
        <v/>
      </c>
    </row>
    <row r="778">
      <c r="A778" s="2" t="n">
        <v>46069</v>
      </c>
      <c r="B778" t="n">
        <v>1544.36</v>
      </c>
      <c r="C778" t="n">
        <v>1508.05</v>
      </c>
      <c r="D778" t="n">
        <v>1463.31</v>
      </c>
      <c r="E778" s="5">
        <f>ABS(C778-B778)/B778</f>
        <v/>
      </c>
      <c r="F778" s="5">
        <f>ABS(D778-B778)/B778</f>
        <v/>
      </c>
      <c r="G778">
        <f>IF(E778&lt;F778,"model","official")</f>
        <v/>
      </c>
    </row>
    <row r="779">
      <c r="A779" s="2" t="n">
        <v>46070</v>
      </c>
      <c r="B779" t="n">
        <v>1518.63</v>
      </c>
      <c r="C779" t="n">
        <v>1531.77</v>
      </c>
      <c r="D779" t="n">
        <v>1507.89</v>
      </c>
      <c r="E779" s="5">
        <f>ABS(C779-B779)/B779</f>
        <v/>
      </c>
      <c r="F779" s="5">
        <f>ABS(D779-B779)/B779</f>
        <v/>
      </c>
      <c r="G779">
        <f>IF(E779&lt;F779,"model","official")</f>
        <v/>
      </c>
    </row>
    <row r="780">
      <c r="A780" s="2" t="n">
        <v>46071</v>
      </c>
      <c r="B780" t="n">
        <v>1532.72</v>
      </c>
      <c r="C780" t="n">
        <v>1545.59</v>
      </c>
      <c r="D780" t="n">
        <v>1469.02</v>
      </c>
      <c r="E780" s="5">
        <f>ABS(C780-B780)/B780</f>
        <v/>
      </c>
      <c r="F780" s="5">
        <f>ABS(D780-B780)/B780</f>
        <v/>
      </c>
      <c r="G780">
        <f>IF(E780&lt;F780,"model","official")</f>
        <v/>
      </c>
    </row>
    <row r="781">
      <c r="A781" s="2" t="n">
        <v>46072</v>
      </c>
      <c r="B781" t="n">
        <v>1574.35</v>
      </c>
      <c r="C781" t="n">
        <v>1545.53</v>
      </c>
      <c r="D781" t="n">
        <v>1523.79</v>
      </c>
      <c r="E781" s="5">
        <f>ABS(C781-B781)/B781</f>
        <v/>
      </c>
      <c r="F781" s="5">
        <f>ABS(D781-B781)/B781</f>
        <v/>
      </c>
      <c r="G781">
        <f>IF(E781&lt;F781,"model","official")</f>
        <v/>
      </c>
    </row>
    <row r="782">
      <c r="A782" s="2" t="n">
        <v>46073</v>
      </c>
      <c r="B782" t="n">
        <v>1565.25</v>
      </c>
      <c r="C782" t="n">
        <v>1517.79</v>
      </c>
      <c r="D782" t="n">
        <v>1503.26</v>
      </c>
      <c r="E782" s="5">
        <f>ABS(C782-B782)/B782</f>
        <v/>
      </c>
      <c r="F782" s="5">
        <f>ABS(D782-B782)/B782</f>
        <v/>
      </c>
      <c r="G782">
        <f>IF(E782&lt;F782,"model","official")</f>
        <v/>
      </c>
    </row>
    <row r="783">
      <c r="A783" s="2" t="n">
        <v>46074</v>
      </c>
      <c r="B783" t="n">
        <v>1359.13</v>
      </c>
      <c r="C783" t="n">
        <v>1309.75</v>
      </c>
      <c r="D783" t="n">
        <v>1349.65</v>
      </c>
      <c r="E783" s="5">
        <f>ABS(C783-B783)/B783</f>
        <v/>
      </c>
      <c r="F783" s="5">
        <f>ABS(D783-B783)/B783</f>
        <v/>
      </c>
      <c r="G783">
        <f>IF(E783&lt;F783,"model","official")</f>
        <v/>
      </c>
    </row>
    <row r="784">
      <c r="A784" s="2" t="n">
        <v>46075</v>
      </c>
      <c r="B784" t="n">
        <v>1208.08</v>
      </c>
      <c r="C784" t="n">
        <v>1240.77</v>
      </c>
      <c r="D784" t="n">
        <v>1274.38</v>
      </c>
      <c r="E784" s="5">
        <f>ABS(C784-B784)/B784</f>
        <v/>
      </c>
      <c r="F784" s="5">
        <f>ABS(D784-B784)/B784</f>
        <v/>
      </c>
      <c r="G784">
        <f>IF(E784&lt;F784,"model","official")</f>
        <v/>
      </c>
    </row>
    <row r="785">
      <c r="A785" s="2" t="n">
        <v>46076</v>
      </c>
      <c r="B785" t="n">
        <v>1463.53</v>
      </c>
      <c r="C785" t="n">
        <v>1522.47</v>
      </c>
      <c r="D785" t="n">
        <v>1466.64</v>
      </c>
      <c r="E785" s="5">
        <f>ABS(C785-B785)/B785</f>
        <v/>
      </c>
      <c r="F785" s="5">
        <f>ABS(D785-B785)/B785</f>
        <v/>
      </c>
      <c r="G785">
        <f>IF(E785&lt;F785,"model","official")</f>
        <v/>
      </c>
    </row>
    <row r="786">
      <c r="A786" s="2" t="n">
        <v>46077</v>
      </c>
      <c r="B786" t="n">
        <v>1439.06</v>
      </c>
      <c r="C786" t="n">
        <v>1539.02</v>
      </c>
      <c r="D786" t="n">
        <v>1474.62</v>
      </c>
      <c r="E786" s="5">
        <f>ABS(C786-B786)/B786</f>
        <v/>
      </c>
      <c r="F786" s="5">
        <f>ABS(D786-B786)/B786</f>
        <v/>
      </c>
      <c r="G786">
        <f>IF(E786&lt;F786,"model","official")</f>
        <v/>
      </c>
    </row>
    <row r="787">
      <c r="A787" s="2" t="n">
        <v>46078</v>
      </c>
      <c r="B787" t="n">
        <v>1416.89</v>
      </c>
      <c r="C787" t="n">
        <v>1535.27</v>
      </c>
      <c r="D787" t="n">
        <v>1481.89</v>
      </c>
      <c r="E787" s="5">
        <f>ABS(C787-B787)/B787</f>
        <v/>
      </c>
      <c r="F787" s="5">
        <f>ABS(D787-B787)/B787</f>
        <v/>
      </c>
      <c r="G787">
        <f>IF(E787&lt;F787,"model","official")</f>
        <v/>
      </c>
    </row>
    <row r="788">
      <c r="A788" s="2" t="n">
        <v>46079</v>
      </c>
      <c r="B788" t="n">
        <v>1435.7</v>
      </c>
      <c r="C788" t="n">
        <v>1524.28</v>
      </c>
      <c r="D788" t="n">
        <v>1470.51</v>
      </c>
      <c r="E788" s="5">
        <f>ABS(C788-B788)/B788</f>
        <v/>
      </c>
      <c r="F788" s="5">
        <f>ABS(D788-B788)/B788</f>
        <v/>
      </c>
      <c r="G788">
        <f>IF(E788&lt;F788,"model","official")</f>
        <v/>
      </c>
    </row>
    <row r="789">
      <c r="A789" s="2" t="n">
        <v>46080</v>
      </c>
      <c r="B789" t="n">
        <v>1370.8</v>
      </c>
      <c r="C789" t="n">
        <v>1479.06</v>
      </c>
      <c r="D789" t="n">
        <v>1410.84</v>
      </c>
      <c r="E789" s="5">
        <f>ABS(C789-B789)/B789</f>
        <v/>
      </c>
      <c r="F789" s="5">
        <f>ABS(D789-B789)/B789</f>
        <v/>
      </c>
      <c r="G789">
        <f>IF(E789&lt;F789,"model","official")</f>
        <v/>
      </c>
    </row>
    <row r="790">
      <c r="A790" s="2" t="n">
        <v>46081</v>
      </c>
      <c r="B790" t="n">
        <v>1184.95</v>
      </c>
      <c r="C790" t="n">
        <v>1254.27</v>
      </c>
      <c r="D790" t="n">
        <v>1264.87</v>
      </c>
      <c r="E790" s="5">
        <f>ABS(C790-B790)/B790</f>
        <v/>
      </c>
      <c r="F790" s="5">
        <f>ABS(D790-B790)/B790</f>
        <v/>
      </c>
      <c r="G790">
        <f>IF(E790&lt;F790,"model","official")</f>
        <v/>
      </c>
    </row>
    <row r="791">
      <c r="A791" s="2" t="n">
        <v>46082</v>
      </c>
      <c r="B791" t="n">
        <v>1146.89</v>
      </c>
      <c r="C791" t="n">
        <v>1156.62</v>
      </c>
      <c r="D791" t="n">
        <v>1229.05</v>
      </c>
      <c r="E791" s="5">
        <f>ABS(C791-B791)/B791</f>
        <v/>
      </c>
      <c r="F791" s="5">
        <f>ABS(D791-B791)/B791</f>
        <v/>
      </c>
      <c r="G791">
        <f>IF(E791&lt;F791,"model","official")</f>
        <v/>
      </c>
    </row>
    <row r="792">
      <c r="A792" s="2" t="n">
        <v>46083</v>
      </c>
      <c r="B792" t="n">
        <v>1346.14</v>
      </c>
      <c r="C792" t="n">
        <v>1391.7</v>
      </c>
      <c r="D792" t="n">
        <v>1405.57</v>
      </c>
      <c r="E792" s="5">
        <f>ABS(C792-B792)/B792</f>
        <v/>
      </c>
      <c r="F792" s="5">
        <f>ABS(D792-B792)/B792</f>
        <v/>
      </c>
      <c r="G792">
        <f>IF(E792&lt;F792,"model","official")</f>
        <v/>
      </c>
    </row>
    <row r="793">
      <c r="A793" s="2" t="n">
        <v>46084</v>
      </c>
      <c r="B793" t="n">
        <v>1355.11</v>
      </c>
      <c r="C793" t="n">
        <v>1406.07</v>
      </c>
      <c r="D793" t="n">
        <v>1421.71</v>
      </c>
      <c r="E793" s="5">
        <f>ABS(C793-B793)/B793</f>
        <v/>
      </c>
      <c r="F793" s="5">
        <f>ABS(D793-B793)/B793</f>
        <v/>
      </c>
      <c r="G793">
        <f>IF(E793&lt;F793,"model","official")</f>
        <v/>
      </c>
    </row>
    <row r="794">
      <c r="A794" s="2" t="n">
        <v>46085</v>
      </c>
      <c r="B794" t="n">
        <v>1378.57</v>
      </c>
      <c r="C794" t="n">
        <v>1395.45</v>
      </c>
      <c r="D794" t="n">
        <v>1411.83</v>
      </c>
      <c r="E794" s="5">
        <f>ABS(C794-B794)/B794</f>
        <v/>
      </c>
      <c r="F794" s="5">
        <f>ABS(D794-B794)/B794</f>
        <v/>
      </c>
      <c r="G794">
        <f>IF(E794&lt;F794,"model","official")</f>
        <v/>
      </c>
    </row>
    <row r="795">
      <c r="A795" s="2" t="n">
        <v>46086</v>
      </c>
      <c r="B795" t="n">
        <v>1353.44</v>
      </c>
      <c r="C795" t="n">
        <v>1383.46</v>
      </c>
      <c r="D795" t="n">
        <v>1405.32</v>
      </c>
      <c r="E795" s="5">
        <f>ABS(C795-B795)/B795</f>
        <v/>
      </c>
      <c r="F795" s="5">
        <f>ABS(D795-B795)/B795</f>
        <v/>
      </c>
      <c r="G795">
        <f>IF(E795&lt;F795,"model","official")</f>
        <v/>
      </c>
    </row>
    <row r="796">
      <c r="A796" s="2" t="n">
        <v>46087</v>
      </c>
      <c r="B796" t="n">
        <v>1341.48</v>
      </c>
      <c r="C796" t="n">
        <v>1350.26</v>
      </c>
      <c r="D796" t="n">
        <v>1373.19</v>
      </c>
      <c r="E796" s="5">
        <f>ABS(C796-B796)/B796</f>
        <v/>
      </c>
      <c r="F796" s="5">
        <f>ABS(D796-B796)/B796</f>
        <v/>
      </c>
      <c r="G796">
        <f>IF(E796&lt;F796,"model","official")</f>
        <v/>
      </c>
    </row>
    <row r="797">
      <c r="A797" s="2" t="n">
        <v>46088</v>
      </c>
      <c r="B797" t="n">
        <v>1134.52</v>
      </c>
      <c r="C797" t="n">
        <v>1150.61</v>
      </c>
      <c r="D797" t="n">
        <v>1198.23</v>
      </c>
      <c r="E797" s="5">
        <f>ABS(C797-B797)/B797</f>
        <v/>
      </c>
      <c r="F797" s="5">
        <f>ABS(D797-B797)/B797</f>
        <v/>
      </c>
      <c r="G797">
        <f>IF(E797&lt;F797,"model","official")</f>
        <v/>
      </c>
    </row>
    <row r="798">
      <c r="A798" s="2" t="n">
        <v>46089</v>
      </c>
      <c r="B798" t="n">
        <v>1085.17</v>
      </c>
      <c r="C798" t="n">
        <v>1081.78</v>
      </c>
      <c r="D798" t="n">
        <v>1146.63</v>
      </c>
      <c r="E798" s="5">
        <f>ABS(C798-B798)/B798</f>
        <v/>
      </c>
      <c r="F798" s="5">
        <f>ABS(D798-B798)/B798</f>
        <v/>
      </c>
      <c r="G798">
        <f>IF(E798&lt;F798,"model","official")</f>
        <v/>
      </c>
    </row>
    <row r="799">
      <c r="A799" s="2" t="n">
        <v>46090</v>
      </c>
      <c r="B799" t="n">
        <v>1327.06</v>
      </c>
      <c r="C799" t="n">
        <v>1316.35</v>
      </c>
      <c r="D799" t="n">
        <v>1358.81</v>
      </c>
      <c r="E799" s="5">
        <f>ABS(C799-B799)/B799</f>
        <v/>
      </c>
      <c r="F799" s="5">
        <f>ABS(D799-B799)/B799</f>
        <v/>
      </c>
      <c r="G799">
        <f>IF(E799&lt;F799,"model","official")</f>
        <v/>
      </c>
    </row>
    <row r="800">
      <c r="A800" s="2" t="n">
        <v>46091</v>
      </c>
      <c r="B800" t="n">
        <v>1332.69</v>
      </c>
      <c r="C800" t="n">
        <v>1330.92</v>
      </c>
      <c r="D800" t="n">
        <v>1353.41</v>
      </c>
      <c r="E800" s="5">
        <f>ABS(C800-B800)/B800</f>
        <v/>
      </c>
      <c r="F800" s="5">
        <f>ABS(D800-B800)/B800</f>
        <v/>
      </c>
      <c r="G800">
        <f>IF(E800&lt;F800,"model","official")</f>
        <v/>
      </c>
    </row>
    <row r="801">
      <c r="A801" s="2" t="n">
        <v>46092</v>
      </c>
      <c r="B801" t="n">
        <v>1403.7</v>
      </c>
      <c r="C801" t="n">
        <v>1336.07</v>
      </c>
      <c r="D801" t="n">
        <v>1382.64</v>
      </c>
      <c r="E801" s="5">
        <f>ABS(C801-B801)/B801</f>
        <v/>
      </c>
      <c r="F801" s="5">
        <f>ABS(D801-B801)/B801</f>
        <v/>
      </c>
      <c r="G801">
        <f>IF(E801&lt;F801,"model","official")</f>
        <v/>
      </c>
    </row>
    <row r="802">
      <c r="A802" s="2" t="n">
        <v>46093</v>
      </c>
      <c r="B802" t="n">
        <v>1409.84</v>
      </c>
      <c r="C802" t="n">
        <v>1331.78</v>
      </c>
      <c r="D802" t="n">
        <v>1343.8</v>
      </c>
      <c r="E802" s="5">
        <f>ABS(C802-B802)/B802</f>
        <v/>
      </c>
      <c r="F802" s="5">
        <f>ABS(D802-B802)/B802</f>
        <v/>
      </c>
      <c r="G802">
        <f>IF(E802&lt;F802,"model","official")</f>
        <v/>
      </c>
    </row>
    <row r="803">
      <c r="A803" s="2" t="n">
        <v>46094</v>
      </c>
      <c r="B803" t="n">
        <v>1391.95</v>
      </c>
      <c r="C803" t="n">
        <v>1310.7</v>
      </c>
      <c r="D803" t="n">
        <v>1378.29</v>
      </c>
      <c r="E803" s="5">
        <f>ABS(C803-B803)/B803</f>
        <v/>
      </c>
      <c r="F803" s="5">
        <f>ABS(D803-B803)/B803</f>
        <v/>
      </c>
      <c r="G803">
        <f>IF(E803&lt;F803,"model","official")</f>
        <v/>
      </c>
    </row>
    <row r="804">
      <c r="A804" s="2" t="n">
        <v>46095</v>
      </c>
      <c r="B804" t="n">
        <v>1210.11</v>
      </c>
      <c r="C804" t="n">
        <v>1132.85</v>
      </c>
      <c r="D804" t="n">
        <v>1183.55</v>
      </c>
      <c r="E804" s="5">
        <f>ABS(C804-B804)/B804</f>
        <v/>
      </c>
      <c r="F804" s="5">
        <f>ABS(D804-B804)/B804</f>
        <v/>
      </c>
      <c r="G804">
        <f>IF(E804&lt;F804,"model","official")</f>
        <v/>
      </c>
    </row>
    <row r="805">
      <c r="A805" s="2" t="n">
        <v>46096</v>
      </c>
      <c r="B805" t="n">
        <v>1151.16</v>
      </c>
      <c r="C805" t="n">
        <v>1073.99</v>
      </c>
      <c r="D805" t="n">
        <v>1169.19</v>
      </c>
      <c r="E805" s="5">
        <f>ABS(C805-B805)/B805</f>
        <v/>
      </c>
      <c r="F805" s="5">
        <f>ABS(D805-B805)/B805</f>
        <v/>
      </c>
      <c r="G805">
        <f>IF(E805&lt;F805,"model","official")</f>
        <v/>
      </c>
    </row>
    <row r="806">
      <c r="A806" s="2" t="n">
        <v>46097</v>
      </c>
      <c r="B806" t="n">
        <v>1416.93</v>
      </c>
      <c r="C806" t="n">
        <v>1326.78</v>
      </c>
      <c r="D806" t="n">
        <v>1441.31</v>
      </c>
      <c r="E806" s="5">
        <f>ABS(C806-B806)/B806</f>
        <v/>
      </c>
      <c r="F806" s="5">
        <f>ABS(D806-B806)/B806</f>
        <v/>
      </c>
      <c r="G806">
        <f>IF(E806&lt;F806,"model","official")</f>
        <v/>
      </c>
    </row>
    <row r="807">
      <c r="A807" s="2" t="n">
        <v>46098</v>
      </c>
      <c r="B807" t="n">
        <v>1400.26</v>
      </c>
      <c r="C807" t="n">
        <v>1360.01</v>
      </c>
      <c r="D807" t="n">
        <v>1422.55</v>
      </c>
      <c r="E807" s="5">
        <f>ABS(C807-B807)/B807</f>
        <v/>
      </c>
      <c r="F807" s="5">
        <f>ABS(D807-B807)/B807</f>
        <v/>
      </c>
      <c r="G807">
        <f>IF(E807&lt;F807,"model","official")</f>
        <v/>
      </c>
    </row>
    <row r="808">
      <c r="A808" s="2" t="n">
        <v>46099</v>
      </c>
      <c r="B808" t="n">
        <v>1351.79</v>
      </c>
      <c r="C808" t="n">
        <v>1383.08</v>
      </c>
      <c r="D808" t="n">
        <v>1411</v>
      </c>
      <c r="E808" s="5">
        <f>ABS(C808-B808)/B808</f>
        <v/>
      </c>
      <c r="F808" s="5">
        <f>ABS(D808-B808)/B808</f>
        <v/>
      </c>
      <c r="G808">
        <f>IF(E808&lt;F808,"model","official")</f>
        <v/>
      </c>
    </row>
    <row r="809">
      <c r="A809" s="2" t="n">
        <v>46100</v>
      </c>
      <c r="B809" t="n">
        <v>1327.03</v>
      </c>
      <c r="C809" t="n">
        <v>1393.21</v>
      </c>
      <c r="D809" t="n">
        <v>1395.9</v>
      </c>
      <c r="E809" s="5">
        <f>ABS(C809-B809)/B809</f>
        <v/>
      </c>
      <c r="F809" s="5">
        <f>ABS(D809-B809)/B809</f>
        <v/>
      </c>
      <c r="G809">
        <f>IF(E809&lt;F809,"model","official")</f>
        <v/>
      </c>
    </row>
    <row r="810">
      <c r="A810" s="2" t="n">
        <v>46101</v>
      </c>
      <c r="B810" t="n">
        <v>1318.66</v>
      </c>
      <c r="C810" t="n">
        <v>1360.4</v>
      </c>
      <c r="D810" t="n">
        <v>1347.95</v>
      </c>
      <c r="E810" s="5">
        <f>ABS(C810-B810)/B810</f>
        <v/>
      </c>
      <c r="F810" s="5">
        <f>ABS(D810-B810)/B810</f>
        <v/>
      </c>
      <c r="G810">
        <f>IF(E810&lt;F810,"model","official")</f>
        <v/>
      </c>
    </row>
    <row r="811">
      <c r="A811" s="2" t="n">
        <v>46102</v>
      </c>
      <c r="B811" t="n">
        <v>1164.59</v>
      </c>
      <c r="C811" t="n">
        <v>1160.26</v>
      </c>
      <c r="D811" t="n">
        <v>1176.02</v>
      </c>
      <c r="E811" s="5">
        <f>ABS(C811-B811)/B811</f>
        <v/>
      </c>
      <c r="F811" s="5">
        <f>ABS(D811-B811)/B811</f>
        <v/>
      </c>
      <c r="G811">
        <f>IF(E811&lt;F811,"model","official")</f>
        <v/>
      </c>
    </row>
    <row r="812">
      <c r="A812" s="2" t="n">
        <v>46103</v>
      </c>
      <c r="B812" t="n">
        <v>1072.84</v>
      </c>
      <c r="C812" t="n">
        <v>1085.86</v>
      </c>
      <c r="D812" t="n">
        <v>1143.11</v>
      </c>
      <c r="E812" s="5">
        <f>ABS(C812-B812)/B812</f>
        <v/>
      </c>
      <c r="F812" s="5">
        <f>ABS(D812-B812)/B812</f>
        <v/>
      </c>
      <c r="G812">
        <f>IF(E812&lt;F812,"model","official")</f>
        <v/>
      </c>
    </row>
    <row r="813">
      <c r="A813" s="2" t="n">
        <v>46104</v>
      </c>
      <c r="B813" t="n">
        <v>1308.37</v>
      </c>
      <c r="C813" t="n">
        <v>1325.15</v>
      </c>
      <c r="D813" t="n">
        <v>1335.39</v>
      </c>
      <c r="E813" s="5">
        <f>ABS(C813-B813)/B813</f>
        <v/>
      </c>
      <c r="F813" s="5">
        <f>ABS(D813-B813)/B813</f>
        <v/>
      </c>
      <c r="G813">
        <f>IF(E813&lt;F813,"model","official")</f>
        <v/>
      </c>
    </row>
    <row r="814">
      <c r="A814" s="2" t="n">
        <v>46105</v>
      </c>
      <c r="B814" t="n">
        <v>1365.11</v>
      </c>
      <c r="C814" t="n">
        <v>1333.4</v>
      </c>
      <c r="D814" t="n">
        <v>1346.4</v>
      </c>
      <c r="E814" s="5">
        <f>ABS(C814-B814)/B814</f>
        <v/>
      </c>
      <c r="F814" s="5">
        <f>ABS(D814-B814)/B814</f>
        <v/>
      </c>
      <c r="G814">
        <f>IF(E814&lt;F814,"model","official")</f>
        <v/>
      </c>
    </row>
    <row r="815">
      <c r="A815" s="2" t="n">
        <v>46106</v>
      </c>
      <c r="B815" t="n">
        <v>1466.05</v>
      </c>
      <c r="C815" t="n">
        <v>1324.85</v>
      </c>
      <c r="D815" t="n">
        <v>1343.99</v>
      </c>
      <c r="E815" s="5">
        <f>ABS(C815-B815)/B815</f>
        <v/>
      </c>
      <c r="F815" s="5">
        <f>ABS(D815-B815)/B815</f>
        <v/>
      </c>
      <c r="G815">
        <f>IF(E815&lt;F815,"model","official")</f>
        <v/>
      </c>
    </row>
    <row r="816">
      <c r="A816" s="2" t="n">
        <v>46107</v>
      </c>
      <c r="B816" t="n">
        <v>1456.97</v>
      </c>
      <c r="C816" t="n">
        <v>1319.97</v>
      </c>
      <c r="D816" t="n">
        <v>1338.7</v>
      </c>
      <c r="E816" s="5">
        <f>ABS(C816-B816)/B816</f>
        <v/>
      </c>
      <c r="F816" s="5">
        <f>ABS(D816-B816)/B816</f>
        <v/>
      </c>
      <c r="G816">
        <f>IF(E816&lt;F816,"model","official")</f>
        <v/>
      </c>
    </row>
    <row r="817">
      <c r="A817" s="2" t="n">
        <v>46108</v>
      </c>
      <c r="B817" t="n">
        <v>1388.51</v>
      </c>
      <c r="C817" t="n">
        <v>1312.53</v>
      </c>
      <c r="D817" t="n">
        <v>1344.14</v>
      </c>
      <c r="E817" s="5">
        <f>ABS(C817-B817)/B817</f>
        <v/>
      </c>
      <c r="F817" s="5">
        <f>ABS(D817-B817)/B817</f>
        <v/>
      </c>
      <c r="G817">
        <f>IF(E817&lt;F817,"model","official")</f>
        <v/>
      </c>
    </row>
    <row r="818">
      <c r="A818" s="2" t="n">
        <v>46109</v>
      </c>
      <c r="B818" t="n">
        <v>1239.41</v>
      </c>
      <c r="C818" t="n">
        <v>1145.77</v>
      </c>
      <c r="D818" t="n">
        <v>1218.45</v>
      </c>
      <c r="E818" s="5">
        <f>ABS(C818-B818)/B818</f>
        <v/>
      </c>
      <c r="F818" s="5">
        <f>ABS(D818-B818)/B818</f>
        <v/>
      </c>
      <c r="G818">
        <f>IF(E818&lt;F818,"model","official")</f>
        <v/>
      </c>
    </row>
    <row r="819">
      <c r="A819" s="2" t="n">
        <v>46110</v>
      </c>
      <c r="B819" t="n">
        <v>1102.5</v>
      </c>
      <c r="C819" t="n">
        <v>1088.67</v>
      </c>
      <c r="D819" t="n">
        <v>1129.22</v>
      </c>
      <c r="E819" s="5">
        <f>ABS(C819-B819)/B819</f>
        <v/>
      </c>
      <c r="F819" s="5">
        <f>ABS(D819-B819)/B819</f>
        <v/>
      </c>
      <c r="G819">
        <f>IF(E819&lt;F819,"model","official")</f>
        <v/>
      </c>
    </row>
    <row r="820">
      <c r="A820" s="2" t="n">
        <v>46111</v>
      </c>
      <c r="B820" t="n">
        <v>1410.36</v>
      </c>
      <c r="C820" t="n">
        <v>1345.07</v>
      </c>
      <c r="D820" t="n">
        <v>1391.01</v>
      </c>
      <c r="E820" s="5">
        <f>ABS(C820-B820)/B820</f>
        <v/>
      </c>
      <c r="F820" s="5">
        <f>ABS(D820-B820)/B820</f>
        <v/>
      </c>
      <c r="G820">
        <f>IF(E820&lt;F820,"model","official")</f>
        <v/>
      </c>
    </row>
    <row r="821">
      <c r="A821" s="2" t="n">
        <v>46112</v>
      </c>
      <c r="B821" t="n">
        <v>1406.12</v>
      </c>
      <c r="C821" t="n">
        <v>1375.48</v>
      </c>
      <c r="D821" t="n">
        <v>1373.76</v>
      </c>
      <c r="E821" s="5">
        <f>ABS(C821-B821)/B821</f>
        <v/>
      </c>
      <c r="F821" s="5">
        <f>ABS(D821-B821)/B821</f>
        <v/>
      </c>
      <c r="G821">
        <f>IF(E821&lt;F821,"model","official")</f>
        <v/>
      </c>
    </row>
    <row r="822">
      <c r="A822" s="2" t="n">
        <v>46113</v>
      </c>
      <c r="B822" t="n">
        <v>1369.2</v>
      </c>
      <c r="C822" t="n">
        <v>1402.68</v>
      </c>
      <c r="D822" t="n">
        <v>1363.22</v>
      </c>
      <c r="E822" s="5">
        <f>ABS(C822-B822)/B822</f>
        <v/>
      </c>
      <c r="F822" s="5">
        <f>ABS(D822-B822)/B822</f>
        <v/>
      </c>
      <c r="G822">
        <f>IF(E822&lt;F822,"model","official")</f>
        <v/>
      </c>
    </row>
    <row r="823">
      <c r="A823" s="2" t="n">
        <v>46114</v>
      </c>
      <c r="B823" t="n">
        <v>1355.58</v>
      </c>
      <c r="C823" t="n">
        <v>1409.72</v>
      </c>
      <c r="D823" t="n">
        <v>1403.68</v>
      </c>
      <c r="E823" s="5">
        <f>ABS(C823-B823)/B823</f>
        <v/>
      </c>
      <c r="F823" s="5">
        <f>ABS(D823-B823)/B823</f>
        <v/>
      </c>
      <c r="G823">
        <f>IF(E823&lt;F823,"model","official")</f>
        <v/>
      </c>
    </row>
    <row r="824">
      <c r="A824" s="2" t="n">
        <v>46115</v>
      </c>
      <c r="B824" t="n">
        <v>1128.12</v>
      </c>
      <c r="C824" t="n">
        <v>1111.41</v>
      </c>
      <c r="D824" t="n">
        <v>1169.34</v>
      </c>
      <c r="E824" s="5">
        <f>ABS(C824-B824)/B824</f>
        <v/>
      </c>
      <c r="F824" s="5">
        <f>ABS(D824-B824)/B824</f>
        <v/>
      </c>
      <c r="G824">
        <f>IF(E824&lt;F824,"model","official")</f>
        <v/>
      </c>
    </row>
    <row r="825">
      <c r="A825" s="2" t="n">
        <v>46116</v>
      </c>
      <c r="B825" t="n">
        <v>1145.32</v>
      </c>
      <c r="C825" t="n">
        <v>1167.41</v>
      </c>
      <c r="D825" t="n">
        <v>1192.12</v>
      </c>
      <c r="E825" s="5">
        <f>ABS(C825-B825)/B825</f>
        <v/>
      </c>
      <c r="F825" s="5">
        <f>ABS(D825-B825)/B825</f>
        <v/>
      </c>
      <c r="G825">
        <f>IF(E825&lt;F825,"model","official")</f>
        <v/>
      </c>
    </row>
    <row r="826">
      <c r="A826" s="2" t="n">
        <v>46117</v>
      </c>
      <c r="B826" t="n">
        <v>1036.88</v>
      </c>
      <c r="C826" t="n">
        <v>1070.23</v>
      </c>
      <c r="D826" t="n">
        <v>1033.51</v>
      </c>
      <c r="E826" s="5">
        <f>ABS(C826-B826)/B826</f>
        <v/>
      </c>
      <c r="F826" s="5">
        <f>ABS(D826-B826)/B826</f>
        <v/>
      </c>
      <c r="G826">
        <f>IF(E826&lt;F826,"model","official")</f>
        <v/>
      </c>
    </row>
    <row r="827">
      <c r="A827" s="2" t="n">
        <v>46118</v>
      </c>
      <c r="B827" t="n">
        <v>1049.33</v>
      </c>
      <c r="C827" t="n">
        <v>1056</v>
      </c>
      <c r="D827" t="n">
        <v>1084.23</v>
      </c>
      <c r="E827" s="5">
        <f>ABS(C827-B827)/B827</f>
        <v/>
      </c>
      <c r="F827" s="5">
        <f>ABS(D827-B827)/B827</f>
        <v/>
      </c>
      <c r="G827">
        <f>IF(E827&lt;F827,"model","official")</f>
        <v/>
      </c>
    </row>
    <row r="828">
      <c r="A828" s="2" t="n">
        <v>46119</v>
      </c>
      <c r="B828" t="n">
        <v>1277.95</v>
      </c>
      <c r="C828" t="n">
        <v>1315.37</v>
      </c>
      <c r="D828" t="n">
        <v>1348.6</v>
      </c>
      <c r="E828" s="5">
        <f>ABS(C828-B828)/B828</f>
        <v/>
      </c>
      <c r="F828" s="5">
        <f>ABS(D828-B828)/B828</f>
        <v/>
      </c>
      <c r="G828">
        <f>IF(E828&lt;F828,"model","official")</f>
        <v/>
      </c>
    </row>
    <row r="829">
      <c r="A829" s="2" t="n">
        <v>46120</v>
      </c>
      <c r="B829" t="n">
        <v>1280.54</v>
      </c>
      <c r="C829" t="n">
        <v>1271.13</v>
      </c>
      <c r="D829" t="n">
        <v>1369.8</v>
      </c>
      <c r="E829" s="5">
        <f>ABS(C829-B829)/B829</f>
        <v/>
      </c>
      <c r="F829" s="5">
        <f>ABS(D829-B829)/B829</f>
        <v/>
      </c>
      <c r="G829">
        <f>IF(E829&lt;F829,"model","official")</f>
        <v/>
      </c>
    </row>
    <row r="830">
      <c r="A830" s="2" t="n">
        <v>46121</v>
      </c>
      <c r="B830" t="n">
        <v>1306.42</v>
      </c>
      <c r="C830" t="n">
        <v>1253.7</v>
      </c>
      <c r="D830" t="n">
        <v>1381.65</v>
      </c>
      <c r="E830" s="5">
        <f>ABS(C830-B830)/B830</f>
        <v/>
      </c>
      <c r="F830" s="5">
        <f>ABS(D830-B830)/B830</f>
        <v/>
      </c>
      <c r="G830">
        <f>IF(E830&lt;F830,"model","official")</f>
        <v/>
      </c>
    </row>
    <row r="831">
      <c r="A831" s="2" t="n">
        <v>46122</v>
      </c>
      <c r="B831" t="n">
        <v>1330.4</v>
      </c>
      <c r="C831" t="n">
        <v>1212.2</v>
      </c>
      <c r="D831" t="n">
        <v>1295.03</v>
      </c>
      <c r="E831" s="5">
        <f>ABS(C831-B831)/B831</f>
        <v/>
      </c>
      <c r="F831" s="5">
        <f>ABS(D831-B831)/B831</f>
        <v/>
      </c>
      <c r="G831">
        <f>IF(E831&lt;F831,"model","official")</f>
        <v/>
      </c>
    </row>
    <row r="832">
      <c r="A832" s="2" t="n">
        <v>46123</v>
      </c>
      <c r="B832" t="n">
        <v>1119.77</v>
      </c>
      <c r="C832" t="n">
        <v>1042.96</v>
      </c>
      <c r="D832" t="n">
        <v>1169.01</v>
      </c>
      <c r="E832" s="5">
        <f>ABS(C832-B832)/B832</f>
        <v/>
      </c>
      <c r="F832" s="5">
        <f>ABS(D832-B832)/B832</f>
        <v/>
      </c>
      <c r="G832">
        <f>IF(E832&lt;F832,"model","official")</f>
        <v/>
      </c>
    </row>
    <row r="833">
      <c r="A833" s="2" t="n">
        <v>46124</v>
      </c>
      <c r="B833" t="n">
        <v>1086.18</v>
      </c>
      <c r="C833" t="n">
        <v>1006.97</v>
      </c>
      <c r="D833" t="n">
        <v>1142.42</v>
      </c>
      <c r="E833" s="5">
        <f>ABS(C833-B833)/B833</f>
        <v/>
      </c>
      <c r="F833" s="5">
        <f>ABS(D833-B833)/B833</f>
        <v/>
      </c>
      <c r="G833">
        <f>IF(E833&lt;F833,"model","official")</f>
        <v/>
      </c>
    </row>
    <row r="834">
      <c r="A834" s="2" t="n">
        <v>46125</v>
      </c>
      <c r="B834" t="n">
        <v>1363.51</v>
      </c>
      <c r="C834" t="n">
        <v>1223.76</v>
      </c>
      <c r="D834" t="n">
        <v>1351.74</v>
      </c>
      <c r="E834" s="5">
        <f>ABS(C834-B834)/B834</f>
        <v/>
      </c>
      <c r="F834" s="5">
        <f>ABS(D834-B834)/B834</f>
        <v/>
      </c>
      <c r="G834">
        <f>IF(E834&lt;F834,"model","official")</f>
        <v/>
      </c>
    </row>
    <row r="835">
      <c r="A835" s="2" t="n">
        <v>46126</v>
      </c>
      <c r="B835" t="n">
        <v>1353.47</v>
      </c>
      <c r="C835" t="n">
        <v>1261.61</v>
      </c>
      <c r="D835" t="n">
        <v>1364.81</v>
      </c>
      <c r="E835" s="5">
        <f>ABS(C835-B835)/B835</f>
        <v/>
      </c>
      <c r="F835" s="5">
        <f>ABS(D835-B835)/B835</f>
        <v/>
      </c>
      <c r="G835">
        <f>IF(E835&lt;F835,"model","official")</f>
        <v/>
      </c>
    </row>
    <row r="836">
      <c r="A836" s="2" t="n">
        <v>46127</v>
      </c>
      <c r="B836" t="n">
        <v>1294.36</v>
      </c>
      <c r="C836" t="n">
        <v>1316.3</v>
      </c>
      <c r="D836" t="n">
        <v>1364.76</v>
      </c>
      <c r="E836" s="5">
        <f>ABS(C836-B836)/B836</f>
        <v/>
      </c>
      <c r="F836" s="5">
        <f>ABS(D836-B836)/B836</f>
        <v/>
      </c>
      <c r="G836">
        <f>IF(E836&lt;F836,"model","official")</f>
        <v/>
      </c>
    </row>
    <row r="837">
      <c r="A837" s="2" t="n">
        <v>46128</v>
      </c>
      <c r="B837" t="n">
        <v>1285.98</v>
      </c>
      <c r="C837" t="n">
        <v>1329.95</v>
      </c>
      <c r="D837" t="n">
        <v>1335.87</v>
      </c>
      <c r="E837" s="5">
        <f>ABS(C837-B837)/B837</f>
        <v/>
      </c>
      <c r="F837" s="5">
        <f>ABS(D837-B837)/B837</f>
        <v/>
      </c>
      <c r="G837">
        <f>IF(E837&lt;F837,"model","official")</f>
        <v/>
      </c>
    </row>
    <row r="838">
      <c r="A838" s="2" t="n">
        <v>46129</v>
      </c>
      <c r="B838" t="n">
        <v>1254.73</v>
      </c>
      <c r="C838" t="n">
        <v>1310.09</v>
      </c>
      <c r="D838" t="n">
        <v>1311.12</v>
      </c>
      <c r="E838" s="5">
        <f>ABS(C838-B838)/B838</f>
        <v/>
      </c>
      <c r="F838" s="5">
        <f>ABS(D838-B838)/B838</f>
        <v/>
      </c>
      <c r="G838">
        <f>IF(E838&lt;F838,"model","official")</f>
        <v/>
      </c>
    </row>
    <row r="839">
      <c r="A839" s="2" t="n">
        <v>46130</v>
      </c>
      <c r="B839" t="n">
        <v>1091.98</v>
      </c>
      <c r="C839" t="n">
        <v>1124.27</v>
      </c>
      <c r="D839" t="n">
        <v>1146.72</v>
      </c>
      <c r="E839" s="5">
        <f>ABS(C839-B839)/B839</f>
        <v/>
      </c>
      <c r="F839" s="5">
        <f>ABS(D839-B839)/B839</f>
        <v/>
      </c>
      <c r="G839">
        <f>IF(E839&lt;F839,"model","official")</f>
        <v/>
      </c>
    </row>
    <row r="840">
      <c r="A840" s="2" t="n">
        <v>46131</v>
      </c>
      <c r="B840" t="n">
        <v>1066.68</v>
      </c>
      <c r="C840" t="n">
        <v>1053.98</v>
      </c>
      <c r="D840" t="n">
        <v>1128.03</v>
      </c>
      <c r="E840" s="5">
        <f>ABS(C840-B840)/B840</f>
        <v/>
      </c>
      <c r="F840" s="5">
        <f>ABS(D840-B840)/B840</f>
        <v/>
      </c>
      <c r="G840">
        <f>IF(E840&lt;F840,"model","official")</f>
        <v/>
      </c>
    </row>
    <row r="841">
      <c r="A841" s="2" t="n">
        <v>46132</v>
      </c>
      <c r="B841" t="n">
        <v>1336.93</v>
      </c>
      <c r="C841" t="n">
        <v>1289.97</v>
      </c>
      <c r="D841" t="n">
        <v>1372.95</v>
      </c>
      <c r="E841" s="5">
        <f>ABS(C841-B841)/B841</f>
        <v/>
      </c>
      <c r="F841" s="5">
        <f>ABS(D841-B841)/B841</f>
        <v/>
      </c>
      <c r="G841">
        <f>IF(E841&lt;F841,"model","official")</f>
        <v/>
      </c>
    </row>
    <row r="842">
      <c r="A842" s="2" t="n">
        <v>46133</v>
      </c>
      <c r="B842" t="n">
        <v>1324.97</v>
      </c>
      <c r="C842" t="n">
        <v>1309.73</v>
      </c>
      <c r="D842" t="n">
        <v>1391.85</v>
      </c>
      <c r="E842" s="5">
        <f>ABS(C842-B842)/B842</f>
        <v/>
      </c>
      <c r="F842" s="5">
        <f>ABS(D842-B842)/B842</f>
        <v/>
      </c>
      <c r="G842">
        <f>IF(E842&lt;F842,"model","official")</f>
        <v/>
      </c>
    </row>
    <row r="843">
      <c r="A843" s="2" t="n">
        <v>46134</v>
      </c>
      <c r="B843" t="n">
        <v>1293.82</v>
      </c>
      <c r="C843" t="n">
        <v>1313.23</v>
      </c>
      <c r="D843" t="n">
        <v>1348.86</v>
      </c>
      <c r="E843" s="5">
        <f>ABS(C843-B843)/B843</f>
        <v/>
      </c>
      <c r="F843" s="5">
        <f>ABS(D843-B843)/B843</f>
        <v/>
      </c>
      <c r="G843">
        <f>IF(E843&lt;F843,"model","official")</f>
        <v/>
      </c>
    </row>
    <row r="844">
      <c r="A844" s="2" t="n">
        <v>46135</v>
      </c>
      <c r="B844" t="n">
        <v>1302.06</v>
      </c>
      <c r="C844" t="n">
        <v>1310.52</v>
      </c>
      <c r="D844" t="n">
        <v>1308.77</v>
      </c>
      <c r="E844" s="5">
        <f>ABS(C844-B844)/B844</f>
        <v/>
      </c>
      <c r="F844" s="5">
        <f>ABS(D844-B844)/B844</f>
        <v/>
      </c>
      <c r="G844">
        <f>IF(E844&lt;F844,"model","official")</f>
        <v/>
      </c>
    </row>
    <row r="845">
      <c r="A845" s="2" t="n">
        <v>46136</v>
      </c>
      <c r="B845" t="n">
        <v>1281.5</v>
      </c>
      <c r="C845" t="n">
        <v>1287.43</v>
      </c>
      <c r="D845" t="n">
        <v>1293.55</v>
      </c>
      <c r="E845" s="5">
        <f>ABS(C845-B845)/B845</f>
        <v/>
      </c>
      <c r="F845" s="5">
        <f>ABS(D845-B845)/B845</f>
        <v/>
      </c>
      <c r="G845">
        <f>IF(E845&lt;F845,"model","official")</f>
        <v/>
      </c>
    </row>
    <row r="846">
      <c r="A846" s="2" t="n">
        <v>46137</v>
      </c>
      <c r="B846" t="n">
        <v>1105.99</v>
      </c>
      <c r="C846" t="n">
        <v>1110.57</v>
      </c>
      <c r="D846" t="n">
        <v>1142.26</v>
      </c>
      <c r="E846" s="5">
        <f>ABS(C846-B846)/B846</f>
        <v/>
      </c>
      <c r="F846" s="5">
        <f>ABS(D846-B846)/B846</f>
        <v/>
      </c>
      <c r="G846">
        <f>IF(E846&lt;F846,"model","official")</f>
        <v/>
      </c>
    </row>
    <row r="847">
      <c r="A847" s="2" t="n">
        <v>46138</v>
      </c>
      <c r="B847" t="n">
        <v>992.5</v>
      </c>
      <c r="C847" t="n">
        <v>1053.6</v>
      </c>
      <c r="D847" t="n">
        <v>1099.52</v>
      </c>
      <c r="E847" s="5">
        <f>ABS(C847-B847)/B847</f>
        <v/>
      </c>
      <c r="F847" s="5">
        <f>ABS(D847-B847)/B847</f>
        <v/>
      </c>
      <c r="G847">
        <f>IF(E847&lt;F847,"model","official")</f>
        <v/>
      </c>
    </row>
    <row r="848">
      <c r="A848" s="2" t="n">
        <v>46139</v>
      </c>
      <c r="B848" t="n">
        <v>1219.05</v>
      </c>
      <c r="C848" t="n">
        <v>1294.62</v>
      </c>
      <c r="D848" t="n">
        <v>1309.66</v>
      </c>
      <c r="E848" s="5">
        <f>ABS(C848-B848)/B848</f>
        <v/>
      </c>
      <c r="F848" s="5">
        <f>ABS(D848-B848)/B848</f>
        <v/>
      </c>
      <c r="G848">
        <f>IF(E848&lt;F848,"model","official")</f>
        <v/>
      </c>
    </row>
    <row r="849">
      <c r="A849" s="2" t="n">
        <v>46140</v>
      </c>
      <c r="B849" t="n">
        <v>1256.52</v>
      </c>
      <c r="C849" t="n">
        <v>1306.93</v>
      </c>
      <c r="D849" t="n">
        <v>1327.3</v>
      </c>
      <c r="E849" s="5">
        <f>ABS(C849-B849)/B849</f>
        <v/>
      </c>
      <c r="F849" s="5">
        <f>ABS(D849-B849)/B849</f>
        <v/>
      </c>
      <c r="G849">
        <f>IF(E849&lt;F849,"model","official")</f>
        <v/>
      </c>
    </row>
    <row r="850">
      <c r="A850" s="2" t="n">
        <v>46141</v>
      </c>
      <c r="B850" t="n">
        <v>1260.39</v>
      </c>
      <c r="C850" t="n">
        <v>1297.58</v>
      </c>
      <c r="D850" t="n">
        <v>1338.66</v>
      </c>
      <c r="E850" s="5">
        <f>ABS(C850-B850)/B850</f>
        <v/>
      </c>
      <c r="F850" s="5">
        <f>ABS(D850-B850)/B850</f>
        <v/>
      </c>
      <c r="G850">
        <f>IF(E850&lt;F850,"model","official")</f>
        <v/>
      </c>
    </row>
    <row r="851">
      <c r="A851" s="2" t="n">
        <v>46142</v>
      </c>
      <c r="B851" t="n">
        <v>1244.17</v>
      </c>
      <c r="C851" t="n">
        <v>1289.26</v>
      </c>
      <c r="D851" t="n">
        <v>1299.24</v>
      </c>
      <c r="E851" s="5">
        <f>ABS(C851-B851)/B851</f>
        <v/>
      </c>
      <c r="F851" s="5">
        <f>ABS(D851-B851)/B851</f>
        <v/>
      </c>
      <c r="G851">
        <f>IF(E851&lt;F851,"model","official")</f>
        <v/>
      </c>
    </row>
    <row r="852">
      <c r="A852" s="2" t="n">
        <v>46143</v>
      </c>
      <c r="B852" t="n">
        <v>985.36</v>
      </c>
      <c r="C852" t="n">
        <v>1025.82</v>
      </c>
      <c r="D852" t="n">
        <v>1104.06</v>
      </c>
      <c r="E852" s="5">
        <f>ABS(C852-B852)/B852</f>
        <v/>
      </c>
      <c r="F852" s="5">
        <f>ABS(D852-B852)/B852</f>
        <v/>
      </c>
      <c r="G852">
        <f>IF(E852&lt;F852,"model","official")</f>
        <v/>
      </c>
    </row>
    <row r="853">
      <c r="A853" s="2" t="n">
        <v>46144</v>
      </c>
      <c r="B853" t="n">
        <v>1017.01</v>
      </c>
      <c r="C853" t="n">
        <v>1079.01</v>
      </c>
      <c r="D853" t="n">
        <v>1096.84</v>
      </c>
      <c r="E853" s="5">
        <f>ABS(C853-B853)/B853</f>
        <v/>
      </c>
      <c r="F853" s="5">
        <f>ABS(D853-B853)/B853</f>
        <v/>
      </c>
      <c r="G853">
        <f>IF(E853&lt;F853,"model","official")</f>
        <v/>
      </c>
    </row>
    <row r="854">
      <c r="A854" s="2" t="n">
        <v>46145</v>
      </c>
      <c r="B854" t="n">
        <v>992.72</v>
      </c>
      <c r="C854" t="n">
        <v>982.97</v>
      </c>
      <c r="D854" t="n">
        <v>1058.09</v>
      </c>
      <c r="E854" s="5">
        <f>ABS(C854-B854)/B854</f>
        <v/>
      </c>
      <c r="F854" s="5">
        <f>ABS(D854-B854)/B854</f>
        <v/>
      </c>
      <c r="G854">
        <f>IF(E854&lt;F854,"model","official")</f>
        <v/>
      </c>
    </row>
    <row r="855">
      <c r="A855" s="2" t="n">
        <v>46146</v>
      </c>
      <c r="B855" t="n">
        <v>1260.95</v>
      </c>
      <c r="C855" t="n">
        <v>1192.17</v>
      </c>
      <c r="D855" t="n">
        <v>1322.76</v>
      </c>
      <c r="E855" s="5">
        <f>ABS(C855-B855)/B855</f>
        <v/>
      </c>
      <c r="F855" s="5">
        <f>ABS(D855-B855)/B855</f>
        <v/>
      </c>
      <c r="G855">
        <f>IF(E855&lt;F855,"model","official")</f>
        <v/>
      </c>
    </row>
    <row r="856">
      <c r="A856" s="2" t="n">
        <v>46147</v>
      </c>
      <c r="B856" t="n">
        <v>1273.55</v>
      </c>
      <c r="C856" t="n">
        <v>1214.76</v>
      </c>
      <c r="D856" t="n">
        <v>1343.07</v>
      </c>
      <c r="E856" s="5">
        <f>ABS(C856-B856)/B856</f>
        <v/>
      </c>
      <c r="F856" s="5">
        <f>ABS(D856-B856)/B856</f>
        <v/>
      </c>
      <c r="G856">
        <f>IF(E856&lt;F856,"model","official")</f>
        <v/>
      </c>
    </row>
    <row r="857">
      <c r="A857" s="2" t="n">
        <v>46148</v>
      </c>
      <c r="B857" t="n">
        <v>1321.3</v>
      </c>
      <c r="C857" t="n">
        <v>1229.26</v>
      </c>
      <c r="D857" t="n">
        <v>1331.37</v>
      </c>
      <c r="E857" s="5">
        <f>ABS(C857-B857)/B857</f>
        <v/>
      </c>
      <c r="F857" s="5">
        <f>ABS(D857-B857)/B857</f>
        <v/>
      </c>
      <c r="G857">
        <f>IF(E857&lt;F857,"model","official")</f>
        <v/>
      </c>
    </row>
    <row r="858">
      <c r="A858" s="2" t="n">
        <v>46149</v>
      </c>
      <c r="B858" t="n">
        <v>1299.53</v>
      </c>
      <c r="C858" t="n">
        <v>1232.66</v>
      </c>
      <c r="D858" t="n">
        <v>1309.53</v>
      </c>
      <c r="E858" s="5">
        <f>ABS(C858-B858)/B858</f>
        <v/>
      </c>
      <c r="F858" s="5">
        <f>ABS(D858-B858)/B858</f>
        <v/>
      </c>
      <c r="G858">
        <f>IF(E858&lt;F858,"model","official")</f>
        <v/>
      </c>
    </row>
    <row r="859">
      <c r="A859" s="2" t="n">
        <v>46150</v>
      </c>
      <c r="B859" t="n">
        <v>1247.27</v>
      </c>
      <c r="C859" t="n">
        <v>1212.44</v>
      </c>
      <c r="D859" t="n">
        <v>1301.02</v>
      </c>
      <c r="E859" s="5">
        <f>ABS(C859-B859)/B859</f>
        <v/>
      </c>
      <c r="F859" s="5">
        <f>ABS(D859-B859)/B859</f>
        <v/>
      </c>
      <c r="G859">
        <f>IF(E859&lt;F859,"model","official")</f>
        <v/>
      </c>
    </row>
    <row r="860">
      <c r="A860" s="2" t="n">
        <v>46151</v>
      </c>
      <c r="B860" t="n">
        <v>1049.82</v>
      </c>
      <c r="C860" t="n">
        <v>1055.7</v>
      </c>
      <c r="D860" t="n">
        <v>1078.93</v>
      </c>
      <c r="E860" s="5">
        <f>ABS(C860-B860)/B860</f>
        <v/>
      </c>
      <c r="F860" s="5">
        <f>ABS(D860-B860)/B860</f>
        <v/>
      </c>
      <c r="G860">
        <f>IF(E860&lt;F860,"model","official")</f>
        <v/>
      </c>
    </row>
    <row r="861">
      <c r="A861" s="2" t="n">
        <v>46152</v>
      </c>
      <c r="B861" t="n">
        <v>983.37</v>
      </c>
      <c r="C861" t="n">
        <v>1029.37</v>
      </c>
      <c r="D861" t="n">
        <v>1069.12</v>
      </c>
      <c r="E861" s="5">
        <f>ABS(C861-B861)/B861</f>
        <v/>
      </c>
      <c r="F861" s="5">
        <f>ABS(D861-B861)/B861</f>
        <v/>
      </c>
      <c r="G861">
        <f>IF(E861&lt;F861,"model","official")</f>
        <v/>
      </c>
    </row>
    <row r="862">
      <c r="A862" s="2" t="n">
        <v>46153</v>
      </c>
      <c r="B862" t="n">
        <v>1289.83</v>
      </c>
      <c r="C862" t="n">
        <v>1267.7</v>
      </c>
      <c r="D862" t="n">
        <v>1320.85</v>
      </c>
      <c r="E862" s="5">
        <f>ABS(C862-B862)/B862</f>
        <v/>
      </c>
      <c r="F862" s="5">
        <f>ABS(D862-B862)/B862</f>
        <v/>
      </c>
      <c r="G862">
        <f>IF(E862&lt;F862,"model","official")</f>
        <v/>
      </c>
    </row>
    <row r="863">
      <c r="A863" s="2" t="n">
        <v>46154</v>
      </c>
      <c r="B863" t="n">
        <v>1304.42</v>
      </c>
      <c r="C863" t="n">
        <v>1289.27</v>
      </c>
      <c r="D863" t="n">
        <v>1335.99</v>
      </c>
      <c r="E863" s="5">
        <f>ABS(C863-B863)/B863</f>
        <v/>
      </c>
      <c r="F863" s="5">
        <f>ABS(D863-B863)/B863</f>
        <v/>
      </c>
      <c r="G863">
        <f>IF(E863&lt;F863,"model","official")</f>
        <v/>
      </c>
    </row>
    <row r="864">
      <c r="A864" s="2" t="n">
        <v>46155</v>
      </c>
      <c r="B864" t="n">
        <v>1266.81</v>
      </c>
      <c r="C864" t="n">
        <v>1303.3</v>
      </c>
      <c r="D864" t="n">
        <v>1345.59</v>
      </c>
      <c r="E864" s="5">
        <f>ABS(C864-B864)/B864</f>
        <v/>
      </c>
      <c r="F864" s="5">
        <f>ABS(D864-B864)/B864</f>
        <v/>
      </c>
      <c r="G864">
        <f>IF(E864&lt;F864,"model","official")</f>
        <v/>
      </c>
    </row>
    <row r="865">
      <c r="A865" s="2" t="n">
        <v>46156</v>
      </c>
      <c r="B865" t="n">
        <v>1051.58</v>
      </c>
      <c r="C865" t="n">
        <v>1063.56</v>
      </c>
      <c r="D865" t="n">
        <v>1091.13</v>
      </c>
      <c r="E865" s="5">
        <f>ABS(C865-B865)/B865</f>
        <v/>
      </c>
      <c r="F865" s="5">
        <f>ABS(D865-B865)/B865</f>
        <v/>
      </c>
      <c r="G865">
        <f>IF(E865&lt;F865,"model","official")</f>
        <v/>
      </c>
    </row>
    <row r="866">
      <c r="A866" s="2" t="n">
        <v>46157</v>
      </c>
      <c r="B866" t="n">
        <v>1107.71</v>
      </c>
      <c r="C866" t="n">
        <v>1167.38</v>
      </c>
      <c r="D866" t="n">
        <v>1214.39</v>
      </c>
      <c r="E866" s="5">
        <f>ABS(C866-B866)/B866</f>
        <v/>
      </c>
      <c r="F866" s="5">
        <f>ABS(D866-B866)/B866</f>
        <v/>
      </c>
      <c r="G866">
        <f>IF(E866&lt;F866,"model","official")</f>
        <v/>
      </c>
    </row>
    <row r="867">
      <c r="A867" s="2" t="n">
        <v>46158</v>
      </c>
      <c r="B867" t="n">
        <v>1048.53</v>
      </c>
      <c r="C867" t="n">
        <v>1065.9</v>
      </c>
      <c r="D867" t="n">
        <v>1110.86</v>
      </c>
      <c r="E867" s="5">
        <f>ABS(C867-B867)/B867</f>
        <v/>
      </c>
      <c r="F867" s="5">
        <f>ABS(D867-B867)/B867</f>
        <v/>
      </c>
      <c r="G867">
        <f>IF(E867&lt;F867,"model","official")</f>
        <v/>
      </c>
    </row>
    <row r="868">
      <c r="A868" s="2" t="n">
        <v>46159</v>
      </c>
      <c r="B868" t="n">
        <v>1010.38</v>
      </c>
      <c r="C868" t="n">
        <v>989.76</v>
      </c>
      <c r="D868" t="n">
        <v>1067.5</v>
      </c>
      <c r="E868" s="5">
        <f>ABS(C868-B868)/B868</f>
        <v/>
      </c>
      <c r="F868" s="5">
        <f>ABS(D868-B868)/B868</f>
        <v/>
      </c>
      <c r="G868">
        <f>IF(E868&lt;F868,"model","official")</f>
        <v/>
      </c>
    </row>
    <row r="869">
      <c r="A869" s="2" t="n">
        <v>46160</v>
      </c>
      <c r="B869" t="n">
        <v>1225.99</v>
      </c>
      <c r="C869" t="n">
        <v>1214.92</v>
      </c>
      <c r="D869" t="n">
        <v>1308.27</v>
      </c>
      <c r="E869" s="5">
        <f>ABS(C869-B869)/B869</f>
        <v/>
      </c>
      <c r="F869" s="5">
        <f>ABS(D869-B869)/B869</f>
        <v/>
      </c>
      <c r="G869">
        <f>IF(E869&lt;F869,"model","official")</f>
        <v/>
      </c>
    </row>
    <row r="870">
      <c r="A870" s="2" t="n">
        <v>46161</v>
      </c>
      <c r="B870" t="n">
        <v>1238.15</v>
      </c>
      <c r="C870" t="n">
        <v>1241.56</v>
      </c>
      <c r="D870" t="n">
        <v>1307.88</v>
      </c>
      <c r="E870" s="5">
        <f>ABS(C870-B870)/B870</f>
        <v/>
      </c>
      <c r="F870" s="5">
        <f>ABS(D870-B870)/B870</f>
        <v/>
      </c>
      <c r="G870">
        <f>IF(E870&lt;F870,"model","official")</f>
        <v/>
      </c>
    </row>
    <row r="871">
      <c r="A871" s="2" t="n">
        <v>46162</v>
      </c>
      <c r="B871" t="n">
        <v>1289.84</v>
      </c>
      <c r="C871" t="n">
        <v>1238.57</v>
      </c>
      <c r="D871" t="n">
        <v>1298.22</v>
      </c>
      <c r="E871" s="5">
        <f>ABS(C871-B871)/B871</f>
        <v/>
      </c>
      <c r="F871" s="5">
        <f>ABS(D871-B871)/B871</f>
        <v/>
      </c>
      <c r="G871">
        <f>IF(E871&lt;F871,"model","official")</f>
        <v/>
      </c>
    </row>
    <row r="872">
      <c r="A872" s="2" t="n">
        <v>46163</v>
      </c>
      <c r="B872" t="n">
        <v>1268.35</v>
      </c>
      <c r="C872" t="n">
        <v>1223.14</v>
      </c>
      <c r="D872" t="n">
        <v>1258.03</v>
      </c>
      <c r="E872" s="5">
        <f>ABS(C872-B872)/B872</f>
        <v/>
      </c>
      <c r="F872" s="5">
        <f>ABS(D872-B872)/B872</f>
        <v/>
      </c>
      <c r="G872">
        <f>IF(E872&lt;F872,"model","official")</f>
        <v/>
      </c>
    </row>
    <row r="873">
      <c r="A873" s="2" t="n">
        <v>46164</v>
      </c>
      <c r="B873" t="n">
        <v>1208.61</v>
      </c>
      <c r="C873" t="n">
        <v>1205.86</v>
      </c>
      <c r="D873" t="n">
        <v>1238.32</v>
      </c>
      <c r="E873" s="5">
        <f>ABS(C873-B873)/B873</f>
        <v/>
      </c>
      <c r="F873" s="5">
        <f>ABS(D873-B873)/B873</f>
        <v/>
      </c>
      <c r="G873">
        <f>IF(E873&lt;F873,"model","official")</f>
        <v/>
      </c>
    </row>
    <row r="874">
      <c r="A874" s="2" t="n">
        <v>46165</v>
      </c>
      <c r="B874" t="n">
        <v>1024.91</v>
      </c>
      <c r="C874" t="n">
        <v>1067.63</v>
      </c>
      <c r="D874" t="n">
        <v>1077.37</v>
      </c>
      <c r="E874" s="5">
        <f>ABS(C874-B874)/B874</f>
        <v/>
      </c>
      <c r="F874" s="5">
        <f>ABS(D874-B874)/B874</f>
        <v/>
      </c>
      <c r="G874">
        <f>IF(E874&lt;F874,"model","official")</f>
        <v/>
      </c>
    </row>
    <row r="875">
      <c r="A875" s="2" t="n">
        <v>46166</v>
      </c>
      <c r="B875" t="n">
        <v>940.54</v>
      </c>
      <c r="C875" t="n">
        <v>1021.45</v>
      </c>
      <c r="D875" t="n">
        <v>986.27</v>
      </c>
      <c r="E875" s="5">
        <f>ABS(C875-B875)/B875</f>
        <v/>
      </c>
      <c r="F875" s="5">
        <f>ABS(D875-B875)/B875</f>
        <v/>
      </c>
      <c r="G875">
        <f>IF(E875&lt;F875,"model","official")</f>
        <v/>
      </c>
    </row>
    <row r="876">
      <c r="A876" s="2" t="n">
        <v>46167</v>
      </c>
      <c r="B876" t="n">
        <v>966.8200000000001</v>
      </c>
      <c r="C876" t="n">
        <v>1017.09</v>
      </c>
      <c r="D876" t="n">
        <v>997.62</v>
      </c>
      <c r="E876" s="5">
        <f>ABS(C876-B876)/B876</f>
        <v/>
      </c>
      <c r="F876" s="5">
        <f>ABS(D876-B876)/B876</f>
        <v/>
      </c>
      <c r="G876">
        <f>IF(E876&lt;F876,"model","official")</f>
        <v/>
      </c>
    </row>
    <row r="877">
      <c r="A877" s="2" t="n">
        <v>46168</v>
      </c>
      <c r="B877" t="n">
        <v>1217.71</v>
      </c>
      <c r="C877" t="n">
        <v>1258.47</v>
      </c>
      <c r="D877" t="n">
        <v>1253.74</v>
      </c>
      <c r="E877" s="5">
        <f>ABS(C877-B877)/B877</f>
        <v/>
      </c>
      <c r="F877" s="5">
        <f>ABS(D877-B877)/B877</f>
        <v/>
      </c>
      <c r="G877">
        <f>IF(E877&lt;F877,"model","official")</f>
        <v/>
      </c>
    </row>
    <row r="878">
      <c r="A878" s="2" t="n">
        <v>46169</v>
      </c>
      <c r="B878" t="n">
        <v>1266.65</v>
      </c>
      <c r="C878" t="n">
        <v>1228.44</v>
      </c>
      <c r="D878" t="n">
        <v>1279.64</v>
      </c>
      <c r="E878" s="5">
        <f>ABS(C878-B878)/B878</f>
        <v/>
      </c>
      <c r="F878" s="5">
        <f>ABS(D878-B878)/B878</f>
        <v/>
      </c>
      <c r="G878">
        <f>IF(E878&lt;F878,"model","official")</f>
        <v/>
      </c>
    </row>
    <row r="879">
      <c r="A879" s="2" t="n">
        <v>46170</v>
      </c>
      <c r="B879" t="n">
        <v>1214.87</v>
      </c>
      <c r="C879" t="n">
        <v>1225.57</v>
      </c>
      <c r="D879" t="n">
        <v>1245.36</v>
      </c>
      <c r="E879" s="5">
        <f>ABS(C879-B879)/B879</f>
        <v/>
      </c>
      <c r="F879" s="5">
        <f>ABS(D879-B879)/B879</f>
        <v/>
      </c>
      <c r="G879">
        <f>IF(E879&lt;F879,"model","official")</f>
        <v/>
      </c>
    </row>
    <row r="880">
      <c r="A880" s="2" t="n">
        <v>46171</v>
      </c>
      <c r="B880" t="n">
        <v>1213.39</v>
      </c>
      <c r="C880" t="n">
        <v>1197.6</v>
      </c>
      <c r="D880" t="n">
        <v>1225.41</v>
      </c>
      <c r="E880" s="5">
        <f>ABS(C880-B880)/B880</f>
        <v/>
      </c>
      <c r="F880" s="5">
        <f>ABS(D880-B880)/B880</f>
        <v/>
      </c>
      <c r="G880">
        <f>IF(E880&lt;F880,"model","official")</f>
        <v/>
      </c>
    </row>
    <row r="881">
      <c r="A881" s="2" t="n">
        <v>46172</v>
      </c>
      <c r="B881" t="n">
        <v>1070.24</v>
      </c>
      <c r="C881" t="n">
        <v>1022.68</v>
      </c>
      <c r="D881" t="n">
        <v>1090.36</v>
      </c>
      <c r="E881" s="5">
        <f>ABS(C881-B881)/B881</f>
        <v/>
      </c>
      <c r="F881" s="5">
        <f>ABS(D881-B881)/B881</f>
        <v/>
      </c>
      <c r="G881">
        <f>IF(E881&lt;F881,"model","official")</f>
        <v/>
      </c>
    </row>
    <row r="882">
      <c r="A882" s="2" t="n">
        <v>46173</v>
      </c>
      <c r="B882" t="n">
        <v>984.13</v>
      </c>
      <c r="C882" t="n">
        <v>965.8</v>
      </c>
      <c r="D882" t="n">
        <v>1064.02</v>
      </c>
      <c r="E882" s="5">
        <f>ABS(C882-B882)/B882</f>
        <v/>
      </c>
      <c r="F882" s="5">
        <f>ABS(D882-B882)/B882</f>
        <v/>
      </c>
      <c r="G882">
        <f>IF(E882&lt;F882,"model","official")</f>
        <v/>
      </c>
    </row>
    <row r="883">
      <c r="A883" s="2" t="n">
        <v>46174</v>
      </c>
      <c r="B883" t="n">
        <v>1199.79</v>
      </c>
      <c r="C883" t="n">
        <v>1183.52</v>
      </c>
      <c r="D883" t="n">
        <v>1276.92</v>
      </c>
      <c r="E883" s="5">
        <f>ABS(C883-B883)/B883</f>
        <v/>
      </c>
      <c r="F883" s="5">
        <f>ABS(D883-B883)/B883</f>
        <v/>
      </c>
      <c r="G883">
        <f>IF(E883&lt;F883,"model","official")</f>
        <v/>
      </c>
    </row>
    <row r="884">
      <c r="A884" s="2" t="n">
        <v>46175</v>
      </c>
      <c r="B884" t="n">
        <v>1273.1</v>
      </c>
      <c r="C884" t="n">
        <v>1217.58</v>
      </c>
      <c r="D884" t="n">
        <v>1294.75</v>
      </c>
      <c r="E884" s="5">
        <f>ABS(C884-B884)/B884</f>
        <v/>
      </c>
      <c r="F884" s="5">
        <f>ABS(D884-B884)/B884</f>
        <v/>
      </c>
      <c r="G884">
        <f>IF(E884&lt;F884,"model","official")</f>
        <v/>
      </c>
    </row>
    <row r="885">
      <c r="A885" s="2" t="n">
        <v>46176</v>
      </c>
      <c r="B885" t="n">
        <v>1262.13</v>
      </c>
      <c r="C885" t="n">
        <v>1260.73</v>
      </c>
      <c r="D885" t="n">
        <v>1322.97</v>
      </c>
      <c r="E885" s="5">
        <f>ABS(C885-B885)/B885</f>
        <v/>
      </c>
      <c r="F885" s="5">
        <f>ABS(D885-B885)/B885</f>
        <v/>
      </c>
      <c r="G885">
        <f>IF(E885&lt;F885,"model","official")</f>
        <v/>
      </c>
    </row>
    <row r="886">
      <c r="A886" s="2" t="n">
        <v>46177</v>
      </c>
      <c r="B886" t="n">
        <v>1144.87</v>
      </c>
      <c r="C886" t="n">
        <v>1134.83</v>
      </c>
      <c r="D886" t="n">
        <v>1154.72</v>
      </c>
      <c r="E886" s="5">
        <f>ABS(C886-B886)/B886</f>
        <v/>
      </c>
      <c r="F886" s="5">
        <f>ABS(D886-B886)/B886</f>
        <v/>
      </c>
      <c r="G886">
        <f>IF(E886&lt;F886,"model","official")</f>
        <v/>
      </c>
    </row>
    <row r="887">
      <c r="A887" s="2" t="n">
        <v>46178</v>
      </c>
      <c r="B887" t="n">
        <v>1144.27</v>
      </c>
      <c r="C887" t="n">
        <v>1243.29</v>
      </c>
      <c r="D887" t="n">
        <v>1208.78</v>
      </c>
      <c r="E887" s="5">
        <f>ABS(C887-B887)/B887</f>
        <v/>
      </c>
      <c r="F887" s="5">
        <f>ABS(D887-B887)/B887</f>
        <v/>
      </c>
      <c r="G887">
        <f>IF(E887&lt;F887,"model","official")</f>
        <v/>
      </c>
    </row>
    <row r="888">
      <c r="A888" s="2" t="n">
        <v>46179</v>
      </c>
      <c r="B888" t="n">
        <v>1026.86</v>
      </c>
      <c r="C888" t="n">
        <v>1060.84</v>
      </c>
      <c r="D888" t="n">
        <v>1092.42</v>
      </c>
      <c r="E888" s="5">
        <f>ABS(C888-B888)/B888</f>
        <v/>
      </c>
      <c r="F888" s="5">
        <f>ABS(D888-B888)/B888</f>
        <v/>
      </c>
      <c r="G888">
        <f>IF(E888&lt;F888,"model","official")</f>
        <v/>
      </c>
    </row>
    <row r="889">
      <c r="A889" s="2" t="n">
        <v>46180</v>
      </c>
      <c r="B889" t="n">
        <v>980.1900000000001</v>
      </c>
      <c r="C889" t="n">
        <v>992.8099999999999</v>
      </c>
      <c r="D889" t="n">
        <v>1079.65</v>
      </c>
      <c r="E889" s="5">
        <f>ABS(C889-B889)/B889</f>
        <v/>
      </c>
      <c r="F889" s="5">
        <f>ABS(D889-B889)/B889</f>
        <v/>
      </c>
      <c r="G889">
        <f>IF(E889&lt;F889,"model","official")</f>
        <v/>
      </c>
    </row>
    <row r="890">
      <c r="A890" s="2" t="n">
        <v>46181</v>
      </c>
      <c r="B890" t="n">
        <v>1222.04</v>
      </c>
      <c r="C890" t="n">
        <v>1209.23</v>
      </c>
      <c r="D890" t="n">
        <v>1291.73</v>
      </c>
      <c r="E890" s="5">
        <f>ABS(C890-B890)/B890</f>
        <v/>
      </c>
      <c r="F890" s="5">
        <f>ABS(D890-B890)/B890</f>
        <v/>
      </c>
      <c r="G890">
        <f>IF(E890&lt;F890,"model","official")</f>
        <v/>
      </c>
    </row>
    <row r="891">
      <c r="A891" s="2" t="n">
        <v>46182</v>
      </c>
      <c r="B891" t="n">
        <v>1297.9</v>
      </c>
      <c r="C891" t="n">
        <v>1230.37</v>
      </c>
      <c r="D891" t="n">
        <v>1318.58</v>
      </c>
      <c r="E891" s="5">
        <f>ABS(C891-B891)/B891</f>
        <v/>
      </c>
      <c r="F891" s="5">
        <f>ABS(D891-B891)/B891</f>
        <v/>
      </c>
      <c r="G891">
        <f>IF(E891&lt;F891,"model","official")</f>
        <v/>
      </c>
    </row>
    <row r="892">
      <c r="A892" s="2" t="n">
        <v>46183</v>
      </c>
      <c r="B892" t="n">
        <v>1284.74</v>
      </c>
      <c r="C892" t="n">
        <v>1239.99</v>
      </c>
      <c r="D892" t="n">
        <v>1304.76</v>
      </c>
      <c r="E892" s="5">
        <f>ABS(C892-B892)/B892</f>
        <v/>
      </c>
      <c r="F892" s="5">
        <f>ABS(D892-B892)/B892</f>
        <v/>
      </c>
      <c r="G892">
        <f>IF(E892&lt;F892,"model","official")</f>
        <v/>
      </c>
    </row>
    <row r="893">
      <c r="A893" s="2" t="n">
        <v>46184</v>
      </c>
      <c r="B893" t="n">
        <v>1254.46</v>
      </c>
      <c r="C893" t="n">
        <v>1240.39</v>
      </c>
      <c r="D893" t="n">
        <v>1314.87</v>
      </c>
      <c r="E893" s="5">
        <f>ABS(C893-B893)/B893</f>
        <v/>
      </c>
      <c r="F893" s="5">
        <f>ABS(D893-B893)/B893</f>
        <v/>
      </c>
      <c r="G893">
        <f>IF(E893&lt;F893,"model","official")</f>
        <v/>
      </c>
    </row>
    <row r="894">
      <c r="A894" s="2" t="n">
        <v>46185</v>
      </c>
      <c r="B894" t="n">
        <v>1286.39</v>
      </c>
      <c r="C894" t="n">
        <v>1219.97</v>
      </c>
      <c r="D894" t="n">
        <v>1304.63</v>
      </c>
      <c r="E894" s="5">
        <f>ABS(C894-B894)/B894</f>
        <v/>
      </c>
      <c r="F894" s="5">
        <f>ABS(D894-B894)/B894</f>
        <v/>
      </c>
      <c r="G894">
        <f>IF(E894&lt;F894,"model","official")</f>
        <v/>
      </c>
    </row>
    <row r="895">
      <c r="A895" s="2" t="n">
        <v>46186</v>
      </c>
      <c r="B895" t="n">
        <v>1068.04</v>
      </c>
      <c r="C895" t="n">
        <v>1063.74</v>
      </c>
      <c r="D895" t="n">
        <v>1113.08</v>
      </c>
      <c r="E895" s="5">
        <f>ABS(C895-B895)/B895</f>
        <v/>
      </c>
      <c r="F895" s="5">
        <f>ABS(D895-B895)/B895</f>
        <v/>
      </c>
      <c r="G895">
        <f>IF(E895&lt;F895,"model","official")</f>
        <v/>
      </c>
    </row>
    <row r="896">
      <c r="A896" s="2" t="n">
        <v>46187</v>
      </c>
      <c r="B896" t="n">
        <v>1018.41</v>
      </c>
      <c r="C896" t="n">
        <v>1021.59</v>
      </c>
      <c r="D896" t="n">
        <v>1092.58</v>
      </c>
      <c r="E896" s="5">
        <f>ABS(C896-B896)/B896</f>
        <v/>
      </c>
      <c r="F896" s="5">
        <f>ABS(D896-B896)/B896</f>
        <v/>
      </c>
      <c r="G896">
        <f>IF(E896&lt;F896,"model","official")</f>
        <v/>
      </c>
    </row>
    <row r="897">
      <c r="A897" s="2" t="n">
        <v>46188</v>
      </c>
      <c r="B897" t="n">
        <v>1258.08</v>
      </c>
      <c r="C897" t="n">
        <v>1257.39</v>
      </c>
      <c r="D897" t="n">
        <v>1318.48</v>
      </c>
      <c r="E897" s="5">
        <f>ABS(C897-B897)/B897</f>
        <v/>
      </c>
      <c r="F897" s="5">
        <f>ABS(D897-B897)/B897</f>
        <v/>
      </c>
      <c r="G897">
        <f>IF(E897&lt;F897,"model","official")</f>
        <v/>
      </c>
    </row>
    <row r="898">
      <c r="A898" s="2" t="n">
        <v>46189</v>
      </c>
      <c r="B898" t="n">
        <v>1269.71</v>
      </c>
      <c r="C898" t="n">
        <v>1284.82</v>
      </c>
      <c r="D898" t="n">
        <v>1314.51</v>
      </c>
      <c r="E898" s="5">
        <f>ABS(C898-B898)/B898</f>
        <v/>
      </c>
      <c r="F898" s="5">
        <f>ABS(D898-B898)/B898</f>
        <v/>
      </c>
      <c r="G898">
        <f>IF(E898&lt;F898,"model","official")</f>
        <v/>
      </c>
    </row>
    <row r="899">
      <c r="A899" s="2" t="n">
        <v>46190</v>
      </c>
      <c r="B899" t="n">
        <v>1243.23</v>
      </c>
      <c r="C899" t="n">
        <v>1296.86</v>
      </c>
      <c r="D899" t="n">
        <v>1301.89</v>
      </c>
      <c r="E899" s="5">
        <f>ABS(C899-B899)/B899</f>
        <v/>
      </c>
      <c r="F899" s="5">
        <f>ABS(D899-B899)/B899</f>
        <v/>
      </c>
      <c r="G899">
        <f>IF(E899&lt;F899,"model","official")</f>
        <v/>
      </c>
    </row>
    <row r="900">
      <c r="A900" s="2" t="n">
        <v>46191</v>
      </c>
      <c r="B900" t="n">
        <v>1257.78</v>
      </c>
      <c r="C900" t="n">
        <v>1290.94</v>
      </c>
      <c r="D900" t="n">
        <v>1240.02</v>
      </c>
      <c r="E900" s="5">
        <f>ABS(C900-B900)/B900</f>
        <v/>
      </c>
      <c r="F900" s="5">
        <f>ABS(D900-B900)/B900</f>
        <v/>
      </c>
      <c r="G900">
        <f>IF(E900&lt;F900,"model","official")</f>
        <v/>
      </c>
    </row>
    <row r="901">
      <c r="A901" s="2" t="n">
        <v>46192</v>
      </c>
      <c r="B901" t="n">
        <v>1246.5</v>
      </c>
      <c r="C901" t="n">
        <v>1261.5</v>
      </c>
      <c r="D901" t="n">
        <v>1214.35</v>
      </c>
      <c r="E901" s="5">
        <f>ABS(C901-B901)/B901</f>
        <v/>
      </c>
      <c r="F901" s="5">
        <f>ABS(D901-B901)/B901</f>
        <v/>
      </c>
      <c r="G901">
        <f>IF(E901&lt;F901,"model","official")</f>
        <v/>
      </c>
    </row>
    <row r="902">
      <c r="A902" s="2" t="n">
        <v>46193</v>
      </c>
      <c r="B902" t="n">
        <v>1077.04</v>
      </c>
      <c r="C902" t="n">
        <v>1083.76</v>
      </c>
      <c r="D902" t="n">
        <v>1077.52</v>
      </c>
      <c r="E902" s="5">
        <f>ABS(C902-B902)/B902</f>
        <v/>
      </c>
      <c r="F902" s="5">
        <f>ABS(D902-B902)/B902</f>
        <v/>
      </c>
      <c r="G902">
        <f>IF(E902&lt;F902,"model","official")</f>
        <v/>
      </c>
    </row>
    <row r="903">
      <c r="A903" s="2" t="n">
        <v>46194</v>
      </c>
      <c r="B903" t="n">
        <v>1020.61</v>
      </c>
      <c r="C903" t="n">
        <v>1018.97</v>
      </c>
      <c r="D903" t="n">
        <v>1045.03</v>
      </c>
      <c r="E903" s="5">
        <f>ABS(C903-B903)/B903</f>
        <v/>
      </c>
      <c r="F903" s="5">
        <f>ABS(D903-B903)/B903</f>
        <v/>
      </c>
      <c r="G903">
        <f>IF(E903&lt;F903,"model","official")</f>
        <v/>
      </c>
    </row>
    <row r="904">
      <c r="A904" s="2" t="n">
        <v>46195</v>
      </c>
      <c r="B904" t="n">
        <v>1266.19</v>
      </c>
      <c r="C904" t="n">
        <v>1248.06</v>
      </c>
      <c r="D904" t="n">
        <v>1283.68</v>
      </c>
      <c r="E904" s="5">
        <f>ABS(C904-B904)/B904</f>
        <v/>
      </c>
      <c r="F904" s="5">
        <f>ABS(D904-B904)/B904</f>
        <v/>
      </c>
      <c r="G904">
        <f>IF(E904&lt;F904,"model","official")</f>
        <v/>
      </c>
    </row>
    <row r="905">
      <c r="A905" s="2" t="n">
        <v>46196</v>
      </c>
      <c r="B905" t="n">
        <v>1286.17</v>
      </c>
      <c r="C905" t="n">
        <v>1269.09</v>
      </c>
      <c r="D905" t="n">
        <v>1305.63</v>
      </c>
      <c r="E905" s="5">
        <f>ABS(C905-B905)/B905</f>
        <v/>
      </c>
      <c r="F905" s="5">
        <f>ABS(D905-B905)/B905</f>
        <v/>
      </c>
      <c r="G905">
        <f>IF(E905&lt;F905,"model","official")</f>
        <v/>
      </c>
    </row>
    <row r="906">
      <c r="A906" s="2" t="n">
        <v>46197</v>
      </c>
      <c r="B906" t="n">
        <v>1305.79</v>
      </c>
      <c r="C906" t="n">
        <v>1276.38</v>
      </c>
      <c r="D906" t="n">
        <v>1293.89</v>
      </c>
      <c r="E906" s="5">
        <f>ABS(C906-B906)/B906</f>
        <v/>
      </c>
      <c r="F906" s="5">
        <f>ABS(D906-B906)/B906</f>
        <v/>
      </c>
      <c r="G906">
        <f>IF(E906&lt;F906,"model","official")</f>
        <v/>
      </c>
    </row>
    <row r="907">
      <c r="A907" s="2" t="n">
        <v>46198</v>
      </c>
      <c r="B907" t="n">
        <v>1336.44</v>
      </c>
      <c r="C907" t="n">
        <v>1278.5</v>
      </c>
      <c r="D907" t="n">
        <v>1273.88</v>
      </c>
      <c r="E907" s="5">
        <f>ABS(C907-B907)/B907</f>
        <v/>
      </c>
      <c r="F907" s="5">
        <f>ABS(D907-B907)/B907</f>
        <v/>
      </c>
      <c r="G907">
        <f>IF(E907&lt;F907,"model","official")</f>
        <v/>
      </c>
    </row>
    <row r="908">
      <c r="A908" s="2" t="n">
        <v>46199</v>
      </c>
      <c r="B908" t="n">
        <v>1317.05</v>
      </c>
      <c r="C908" t="n">
        <v>1262.94</v>
      </c>
      <c r="D908" t="n">
        <v>1263.95</v>
      </c>
      <c r="E908" s="5">
        <f>ABS(C908-B908)/B908</f>
        <v/>
      </c>
      <c r="F908" s="5">
        <f>ABS(D908-B908)/B908</f>
        <v/>
      </c>
      <c r="G908">
        <f>IF(E908&lt;F908,"model","official")</f>
        <v/>
      </c>
    </row>
    <row r="909">
      <c r="A909" s="2" t="n">
        <v>46200</v>
      </c>
      <c r="B909" t="n">
        <v>1141.82</v>
      </c>
      <c r="C909" t="n">
        <v>1095.74</v>
      </c>
      <c r="D909" t="n">
        <v>1101.98</v>
      </c>
      <c r="E909" s="5">
        <f>ABS(C909-B909)/B909</f>
        <v/>
      </c>
      <c r="F909" s="5">
        <f>ABS(D909-B909)/B909</f>
        <v/>
      </c>
      <c r="G909">
        <f>IF(E909&lt;F909,"model","official")</f>
        <v/>
      </c>
    </row>
    <row r="910">
      <c r="A910" s="2" t="n">
        <v>46201</v>
      </c>
      <c r="B910" t="n">
        <v>1090.03</v>
      </c>
      <c r="C910" t="n">
        <v>1043.06</v>
      </c>
      <c r="D910" t="n">
        <v>1094.89</v>
      </c>
      <c r="E910" s="5">
        <f>ABS(C910-B910)/B910</f>
        <v/>
      </c>
      <c r="F910" s="5">
        <f>ABS(D910-B910)/B910</f>
        <v/>
      </c>
      <c r="G910">
        <f>IF(E910&lt;F910,"model","official")</f>
        <v/>
      </c>
    </row>
    <row r="911">
      <c r="A911" s="2" t="n">
        <v>46202</v>
      </c>
      <c r="B911" t="n">
        <v>1308.14</v>
      </c>
      <c r="C911" t="n">
        <v>1285.72</v>
      </c>
      <c r="D911" t="n">
        <v>1315.25</v>
      </c>
      <c r="E911" s="5">
        <f>ABS(C911-B911)/B911</f>
        <v/>
      </c>
      <c r="F911" s="5">
        <f>ABS(D911-B911)/B911</f>
        <v/>
      </c>
      <c r="G911">
        <f>IF(E911&lt;F911,"model","official")</f>
        <v/>
      </c>
    </row>
    <row r="912">
      <c r="A912" s="2" t="n">
        <v>46203</v>
      </c>
      <c r="B912" t="n">
        <v>1301.73</v>
      </c>
      <c r="C912" t="n">
        <v>1317.48</v>
      </c>
      <c r="D912" t="n">
        <v>1336.83</v>
      </c>
      <c r="E912" s="5">
        <f>ABS(C912-B912)/B912</f>
        <v/>
      </c>
      <c r="F912" s="5">
        <f>ABS(D912-B912)/B912</f>
        <v/>
      </c>
      <c r="G912">
        <f>IF(E912&lt;F912,"model","official")</f>
        <v/>
      </c>
    </row>
    <row r="913">
      <c r="A913" s="2" t="n">
        <v>46204</v>
      </c>
      <c r="B913" t="n">
        <v>1298.76</v>
      </c>
      <c r="C913" t="n">
        <v>1331.57</v>
      </c>
      <c r="D913" t="n">
        <v>1317.27</v>
      </c>
      <c r="E913" s="5">
        <f>ABS(C913-B913)/B913</f>
        <v/>
      </c>
      <c r="F913" s="5">
        <f>ABS(D913-B913)/B913</f>
        <v/>
      </c>
      <c r="G913">
        <f>IF(E913&lt;F913,"model","official")</f>
        <v/>
      </c>
    </row>
    <row r="914">
      <c r="A914" s="2" t="n">
        <v>46205</v>
      </c>
      <c r="B914" t="n">
        <v>1270.93</v>
      </c>
      <c r="C914" t="n">
        <v>1334.1</v>
      </c>
      <c r="D914" t="n">
        <v>1294.94</v>
      </c>
      <c r="E914" s="5">
        <f>ABS(C914-B914)/B914</f>
        <v/>
      </c>
      <c r="F914" s="5">
        <f>ABS(D914-B914)/B914</f>
        <v/>
      </c>
      <c r="G914">
        <f>IF(E914&lt;F914,"model","official")</f>
        <v/>
      </c>
    </row>
    <row r="915">
      <c r="A915" s="2" t="n">
        <v>46206</v>
      </c>
      <c r="B915" t="n">
        <v>1241.96</v>
      </c>
      <c r="C915" t="n">
        <v>1307.27</v>
      </c>
      <c r="D915" t="n">
        <v>1279.16</v>
      </c>
      <c r="E915" s="5">
        <f>ABS(C915-B915)/B915</f>
        <v/>
      </c>
      <c r="F915" s="5">
        <f>ABS(D915-B915)/B915</f>
        <v/>
      </c>
      <c r="G915">
        <f>IF(E915&lt;F915,"model","official")</f>
        <v/>
      </c>
    </row>
    <row r="916">
      <c r="A916" s="2" t="n">
        <v>46207</v>
      </c>
      <c r="B916" t="n">
        <v>1077.6</v>
      </c>
      <c r="C916" t="n">
        <v>1116.19</v>
      </c>
      <c r="D916" t="n">
        <v>1103.96</v>
      </c>
      <c r="E916" s="5">
        <f>ABS(C916-B916)/B916</f>
        <v/>
      </c>
      <c r="F916" s="5">
        <f>ABS(D916-B916)/B916</f>
        <v/>
      </c>
      <c r="G916">
        <f>IF(E916&lt;F916,"model","official")</f>
        <v/>
      </c>
    </row>
    <row r="917">
      <c r="A917" s="2" t="n">
        <v>46208</v>
      </c>
      <c r="B917" t="n">
        <v>1039.22</v>
      </c>
      <c r="C917" t="n">
        <v>1045.67</v>
      </c>
      <c r="D917" t="n">
        <v>1112.2</v>
      </c>
      <c r="E917" s="5">
        <f>ABS(C917-B917)/B917</f>
        <v/>
      </c>
      <c r="F917" s="5">
        <f>ABS(D917-B917)/B917</f>
        <v/>
      </c>
      <c r="G917">
        <f>IF(E917&lt;F917,"model","official")</f>
        <v/>
      </c>
    </row>
    <row r="918">
      <c r="A918" s="2" t="n">
        <v>46209</v>
      </c>
      <c r="B918" t="n">
        <v>1295.71</v>
      </c>
      <c r="C918" t="n">
        <v>1269.2</v>
      </c>
      <c r="D918" t="n">
        <v>1297.71</v>
      </c>
      <c r="E918" s="5">
        <f>ABS(C918-B918)/B918</f>
        <v/>
      </c>
      <c r="F918" s="5">
        <f>ABS(D918-B918)/B918</f>
        <v/>
      </c>
      <c r="G918">
        <f>IF(E918&lt;F918,"model","official")</f>
        <v/>
      </c>
    </row>
    <row r="919">
      <c r="A919" s="2" t="n">
        <v>46210</v>
      </c>
      <c r="B919" t="n">
        <v>1313.51</v>
      </c>
      <c r="C919" t="n">
        <v>1282.46</v>
      </c>
      <c r="D919" t="n">
        <v>1307.58</v>
      </c>
      <c r="E919" s="5">
        <f>ABS(C919-B919)/B919</f>
        <v/>
      </c>
      <c r="F919" s="5">
        <f>ABS(D919-B919)/B919</f>
        <v/>
      </c>
      <c r="G919">
        <f>IF(E919&lt;F919,"model","official")</f>
        <v/>
      </c>
    </row>
    <row r="920">
      <c r="A920" s="2" t="n">
        <v>46211</v>
      </c>
      <c r="B920" t="n">
        <v>1324.66</v>
      </c>
      <c r="C920" t="n">
        <v>1287.8</v>
      </c>
      <c r="D920" t="n">
        <v>1279.31</v>
      </c>
      <c r="E920" s="5">
        <f>ABS(C920-B920)/B920</f>
        <v/>
      </c>
      <c r="F920" s="5">
        <f>ABS(D920-B920)/B920</f>
        <v/>
      </c>
      <c r="G920">
        <f>IF(E920&lt;F920,"model","official")</f>
        <v/>
      </c>
    </row>
    <row r="921">
      <c r="A921" s="2" t="n">
        <v>46212</v>
      </c>
      <c r="B921" t="n">
        <v>1293.72</v>
      </c>
      <c r="C921" t="n">
        <v>1288.07</v>
      </c>
      <c r="D921" t="n">
        <v>1271.14</v>
      </c>
      <c r="E921" s="5">
        <f>ABS(C921-B921)/B921</f>
        <v/>
      </c>
      <c r="F921" s="5">
        <f>ABS(D921-B921)/B921</f>
        <v/>
      </c>
      <c r="G921">
        <f>IF(E921&lt;F921,"model","official")</f>
        <v/>
      </c>
    </row>
    <row r="922">
      <c r="A922" s="2" t="n">
        <v>46213</v>
      </c>
      <c r="B922" t="n">
        <v>1233.75</v>
      </c>
      <c r="C922" t="n">
        <v>1266.69</v>
      </c>
      <c r="D922" t="n">
        <v>1264.33</v>
      </c>
      <c r="E922" s="5">
        <f>ABS(C922-B922)/B922</f>
        <v/>
      </c>
      <c r="F922" s="5">
        <f>ABS(D922-B922)/B922</f>
        <v/>
      </c>
      <c r="G922">
        <f>IF(E922&lt;F922,"model","official")</f>
        <v/>
      </c>
    </row>
    <row r="923">
      <c r="A923" s="2" t="n">
        <v>46214</v>
      </c>
      <c r="B923" t="n">
        <v>1059.82</v>
      </c>
      <c r="C923" t="n">
        <v>1092.4</v>
      </c>
      <c r="D923" t="n">
        <v>1063.85</v>
      </c>
      <c r="E923" s="5">
        <f>ABS(C923-B923)/B923</f>
        <v/>
      </c>
      <c r="F923" s="5">
        <f>ABS(D923-B923)/B923</f>
        <v/>
      </c>
      <c r="G923">
        <f>IF(E923&lt;F923,"model","official")</f>
        <v/>
      </c>
    </row>
    <row r="924">
      <c r="A924" s="2" t="n">
        <v>46215</v>
      </c>
      <c r="B924" t="n">
        <v>997.99</v>
      </c>
      <c r="C924" t="n">
        <v>1031.52</v>
      </c>
      <c r="D924" t="n">
        <v>1052.68</v>
      </c>
      <c r="E924" s="5">
        <f>ABS(C924-B924)/B924</f>
        <v/>
      </c>
      <c r="F924" s="5">
        <f>ABS(D924-B924)/B924</f>
        <v/>
      </c>
      <c r="G924">
        <f>IF(E924&lt;F924,"model","official")</f>
        <v/>
      </c>
    </row>
    <row r="925">
      <c r="A925" s="2" t="n">
        <v>46216</v>
      </c>
      <c r="B925" t="n">
        <v>1266.89</v>
      </c>
      <c r="C925" t="n">
        <v>1260.33</v>
      </c>
      <c r="D925" t="n">
        <v>1259.85</v>
      </c>
      <c r="E925" s="5">
        <f>ABS(C925-B925)/B925</f>
        <v/>
      </c>
      <c r="F925" s="5">
        <f>ABS(D925-B925)/B925</f>
        <v/>
      </c>
      <c r="G925">
        <f>IF(E925&lt;F925,"model","official")</f>
        <v/>
      </c>
    </row>
    <row r="926">
      <c r="A926" s="2" t="n">
        <v>46217</v>
      </c>
      <c r="B926" t="n">
        <v>1302.58</v>
      </c>
      <c r="C926" t="n">
        <v>1275.6</v>
      </c>
      <c r="D926" t="n">
        <v>1279.76</v>
      </c>
      <c r="E926" s="5">
        <f>ABS(C926-B926)/B926</f>
        <v/>
      </c>
      <c r="F926" s="5">
        <f>ABS(D926-B926)/B926</f>
        <v/>
      </c>
      <c r="G926">
        <f>IF(E926&lt;F926,"model","official")</f>
        <v/>
      </c>
    </row>
    <row r="927">
      <c r="A927" s="2" t="n">
        <v>46218</v>
      </c>
      <c r="B927" t="n">
        <v>1296.73</v>
      </c>
      <c r="C927" t="n">
        <v>1279.03</v>
      </c>
      <c r="D927" t="n">
        <v>1292.28</v>
      </c>
      <c r="E927" s="5">
        <f>ABS(C927-B927)/B927</f>
        <v/>
      </c>
      <c r="F927" s="5">
        <f>ABS(D927-B927)/B927</f>
        <v/>
      </c>
      <c r="G927">
        <f>IF(E927&lt;F927,"model","official")</f>
        <v/>
      </c>
    </row>
    <row r="928">
      <c r="A928" s="2" t="n">
        <v>46219</v>
      </c>
      <c r="B928" t="n">
        <v>1305.23</v>
      </c>
      <c r="C928" t="n">
        <v>1276.49</v>
      </c>
      <c r="D928" t="n">
        <v>1283.4</v>
      </c>
      <c r="E928" s="5">
        <f>ABS(C928-B928)/B928</f>
        <v/>
      </c>
      <c r="F928" s="5">
        <f>ABS(D928-B928)/B928</f>
        <v/>
      </c>
      <c r="G928">
        <f>IF(E928&lt;F928,"model","official")</f>
        <v/>
      </c>
    </row>
    <row r="929">
      <c r="A929" s="2" t="n">
        <v>46220</v>
      </c>
      <c r="B929" t="n">
        <v>1281.59</v>
      </c>
      <c r="C929" t="n">
        <v>1247.04</v>
      </c>
      <c r="D929" t="n">
        <v>1284.75</v>
      </c>
      <c r="E929" s="5">
        <f>ABS(C929-B929)/B929</f>
        <v/>
      </c>
      <c r="F929" s="5">
        <f>ABS(D929-B929)/B929</f>
        <v/>
      </c>
      <c r="G929">
        <f>IF(E929&lt;F929,"model","official")</f>
        <v/>
      </c>
    </row>
    <row r="930">
      <c r="A930" s="2" t="n">
        <v>46221</v>
      </c>
      <c r="B930" t="n">
        <v>1107.84</v>
      </c>
      <c r="C930" t="n">
        <v>1074.23</v>
      </c>
      <c r="D930" t="n">
        <v>1115.33</v>
      </c>
      <c r="E930" s="5">
        <f>ABS(C930-B930)/B930</f>
        <v/>
      </c>
      <c r="F930" s="5">
        <f>ABS(D930-B930)/B930</f>
        <v/>
      </c>
      <c r="G930">
        <f>IF(E930&lt;F930,"model","official")</f>
        <v/>
      </c>
    </row>
    <row r="931">
      <c r="A931" s="2" t="n">
        <v>46222</v>
      </c>
      <c r="B931" t="n">
        <v>1003.78</v>
      </c>
      <c r="C931" t="n">
        <v>1020.64</v>
      </c>
      <c r="D931" t="n">
        <v>1088.95</v>
      </c>
      <c r="E931" s="5">
        <f>ABS(C931-B931)/B931</f>
        <v/>
      </c>
      <c r="F931" s="5">
        <f>ABS(D931-B931)/B931</f>
        <v/>
      </c>
      <c r="G931">
        <f>IF(E931&lt;F931,"model","official")</f>
        <v/>
      </c>
    </row>
    <row r="932">
      <c r="A932" s="2" t="n">
        <v>46223</v>
      </c>
      <c r="B932" t="n">
        <v>1219.66</v>
      </c>
      <c r="C932" t="n">
        <v>1256.77</v>
      </c>
      <c r="D932" t="n">
        <v>1287.44</v>
      </c>
      <c r="E932" s="5">
        <f>ABS(C932-B932)/B932</f>
        <v/>
      </c>
      <c r="F932" s="5">
        <f>ABS(D932-B932)/B932</f>
        <v/>
      </c>
      <c r="G932">
        <f>IF(E932&lt;F932,"model","official")</f>
        <v/>
      </c>
    </row>
    <row r="933">
      <c r="A933" s="2" t="n">
        <v>46224</v>
      </c>
      <c r="B933" t="n">
        <v>1216.96</v>
      </c>
      <c r="C933" t="n">
        <v>1279.41</v>
      </c>
      <c r="D933" t="n">
        <v>1277.86</v>
      </c>
      <c r="E933" s="5">
        <f>ABS(C933-B933)/B933</f>
        <v/>
      </c>
      <c r="F933" s="5">
        <f>ABS(D933-B933)/B933</f>
        <v/>
      </c>
      <c r="G933">
        <f>IF(E933&lt;F933,"model","official")</f>
        <v/>
      </c>
    </row>
    <row r="934">
      <c r="A934" s="2" t="n">
        <v>46225</v>
      </c>
      <c r="B934" t="n">
        <v>1265.07</v>
      </c>
      <c r="C934" t="n">
        <v>1279.99</v>
      </c>
      <c r="D934" t="n">
        <v>1293.01</v>
      </c>
      <c r="E934" s="5">
        <f>ABS(C934-B934)/B934</f>
        <v/>
      </c>
      <c r="F934" s="5">
        <f>ABS(D934-B934)/B934</f>
        <v/>
      </c>
      <c r="G934">
        <f>IF(E934&lt;F934,"model","official")</f>
        <v/>
      </c>
    </row>
    <row r="935">
      <c r="A935" s="2" t="n">
        <v>46226</v>
      </c>
      <c r="B935" t="n">
        <v>1252.52</v>
      </c>
      <c r="C935" t="n">
        <v>1268.01</v>
      </c>
      <c r="D935" t="n">
        <v>1247.99</v>
      </c>
      <c r="E935" s="5">
        <f>ABS(C935-B935)/B935</f>
        <v/>
      </c>
      <c r="F935" s="5">
        <f>ABS(D935-B935)/B935</f>
        <v/>
      </c>
      <c r="G935">
        <f>IF(E935&lt;F935,"model","official")</f>
        <v/>
      </c>
    </row>
    <row r="936">
      <c r="A936" s="2" t="n">
        <v>46227</v>
      </c>
      <c r="B936" t="n">
        <v>1205.56</v>
      </c>
      <c r="C936" t="n">
        <v>1239.58</v>
      </c>
      <c r="D936" t="n">
        <v>1217.49</v>
      </c>
      <c r="E936" s="5">
        <f>ABS(C936-B936)/B936</f>
        <v/>
      </c>
      <c r="F936" s="5">
        <f>ABS(D936-B936)/B936</f>
        <v/>
      </c>
      <c r="G936">
        <f>IF(E936&lt;F936,"model","official")</f>
        <v/>
      </c>
    </row>
    <row r="937">
      <c r="A937" s="2" t="n">
        <v>46228</v>
      </c>
      <c r="B937" t="n">
        <v>1032.49</v>
      </c>
      <c r="C937" t="n">
        <v>1060.35</v>
      </c>
      <c r="D937" t="n">
        <v>1085.68</v>
      </c>
      <c r="E937" s="5">
        <f>ABS(C937-B937)/B937</f>
        <v/>
      </c>
      <c r="F937" s="5">
        <f>ABS(D937-B937)/B937</f>
        <v/>
      </c>
      <c r="G937">
        <f>IF(E937&lt;F937,"model","official")</f>
        <v/>
      </c>
    </row>
    <row r="938">
      <c r="A938" s="2" t="n">
        <v>46229</v>
      </c>
      <c r="B938" t="n">
        <v>999.96</v>
      </c>
      <c r="C938" t="n">
        <v>992.21</v>
      </c>
      <c r="D938" t="n">
        <v>1064.04</v>
      </c>
      <c r="E938" s="5">
        <f>ABS(C938-B938)/B938</f>
        <v/>
      </c>
      <c r="F938" s="5">
        <f>ABS(D938-B938)/B938</f>
        <v/>
      </c>
      <c r="G938">
        <f>IF(E938&lt;F938,"model","official")</f>
        <v/>
      </c>
    </row>
    <row r="939">
      <c r="A939" s="2" t="n">
        <v>46230</v>
      </c>
      <c r="B939" t="n">
        <v>1248.18</v>
      </c>
      <c r="C939" t="n">
        <v>1203.1</v>
      </c>
      <c r="D939" t="n">
        <v>1270.74</v>
      </c>
      <c r="E939" s="5">
        <f>ABS(C939-B939)/B939</f>
        <v/>
      </c>
      <c r="F939" s="5">
        <f>ABS(D939-B939)/B939</f>
        <v/>
      </c>
      <c r="G939">
        <f>IF(E939&lt;F939,"model","official")</f>
        <v/>
      </c>
    </row>
    <row r="940">
      <c r="A940" s="2" t="n">
        <v>46231</v>
      </c>
      <c r="B940" t="n">
        <v>1239.9</v>
      </c>
      <c r="C940" t="n">
        <v>1222.63</v>
      </c>
      <c r="D940" t="n">
        <v>1246.47</v>
      </c>
      <c r="E940" s="5">
        <f>ABS(C940-B940)/B940</f>
        <v/>
      </c>
      <c r="F940" s="5">
        <f>ABS(D940-B940)/B940</f>
        <v/>
      </c>
      <c r="G940">
        <f>IF(E940&lt;F940,"model","official")</f>
        <v/>
      </c>
    </row>
    <row r="941">
      <c r="A941" s="2" t="n">
        <v>46232</v>
      </c>
      <c r="B941" t="n">
        <v>1253.59</v>
      </c>
      <c r="C941" t="n">
        <v>1235.81</v>
      </c>
      <c r="D941" t="n">
        <v>1247.51</v>
      </c>
      <c r="E941" s="5">
        <f>ABS(C941-B941)/B941</f>
        <v/>
      </c>
      <c r="F941" s="5">
        <f>ABS(D941-B941)/B941</f>
        <v/>
      </c>
      <c r="G941">
        <f>IF(E941&lt;F941,"model","official")</f>
        <v/>
      </c>
    </row>
    <row r="942">
      <c r="A942" s="2" t="n">
        <v>46233</v>
      </c>
      <c r="B942" t="n">
        <v>1302.48</v>
      </c>
      <c r="C942" t="n">
        <v>1239.34</v>
      </c>
      <c r="D942" t="n">
        <v>1259.71</v>
      </c>
      <c r="E942" s="5">
        <f>ABS(C942-B942)/B942</f>
        <v/>
      </c>
      <c r="F942" s="5">
        <f>ABS(D942-B942)/B942</f>
        <v/>
      </c>
      <c r="G942">
        <f>IF(E942&lt;F942,"model","official")</f>
        <v/>
      </c>
    </row>
    <row r="943">
      <c r="A943" s="2" t="n">
        <v>46234</v>
      </c>
      <c r="B943" t="n">
        <v>1246.51</v>
      </c>
      <c r="C943" t="n">
        <v>1213.92</v>
      </c>
      <c r="D943" t="n">
        <v>1260.86</v>
      </c>
      <c r="E943" s="5">
        <f>ABS(C943-B943)/B943</f>
        <v/>
      </c>
      <c r="F943" s="5">
        <f>ABS(D943-B943)/B943</f>
        <v/>
      </c>
      <c r="G943">
        <f>IF(E943&lt;F943,"model","official")</f>
        <v/>
      </c>
    </row>
    <row r="944">
      <c r="A944" s="2" t="n">
        <v>46235</v>
      </c>
      <c r="B944" t="n">
        <v>1083.38</v>
      </c>
      <c r="C944" t="n">
        <v>1050.88</v>
      </c>
      <c r="D944" t="n">
        <v>1088.85</v>
      </c>
      <c r="E944" s="5">
        <f>ABS(C944-B944)/B944</f>
        <v/>
      </c>
      <c r="F944" s="5">
        <f>ABS(D944-B944)/B944</f>
        <v/>
      </c>
      <c r="G944">
        <f>IF(E944&lt;F944,"model","official")</f>
        <v/>
      </c>
    </row>
    <row r="945">
      <c r="A945" s="2" t="n">
        <v>46236</v>
      </c>
      <c r="B945" t="n">
        <v>987.25</v>
      </c>
      <c r="C945" t="n">
        <v>999.09</v>
      </c>
      <c r="D945" t="n">
        <v>1052.61</v>
      </c>
      <c r="E945" s="5">
        <f>ABS(C945-B945)/B945</f>
        <v/>
      </c>
      <c r="F945" s="5">
        <f>ABS(D945-B945)/B945</f>
        <v/>
      </c>
      <c r="G945">
        <f>IF(E945&lt;F945,"model","official")</f>
        <v/>
      </c>
    </row>
    <row r="946">
      <c r="A946" s="2" t="n">
        <v>46237</v>
      </c>
      <c r="B946" t="n">
        <v>1217.59</v>
      </c>
      <c r="C946" t="n">
        <v>1230.77</v>
      </c>
      <c r="D946" t="n">
        <v>1228.86</v>
      </c>
      <c r="E946" s="5">
        <f>ABS(C946-B946)/B946</f>
        <v/>
      </c>
      <c r="F946" s="5">
        <f>ABS(D946-B946)/B946</f>
        <v/>
      </c>
      <c r="G946">
        <f>IF(E946&lt;F946,"model","official")</f>
        <v/>
      </c>
    </row>
    <row r="947">
      <c r="A947" s="2" t="n">
        <v>46238</v>
      </c>
      <c r="B947" t="n">
        <v>1267.18</v>
      </c>
      <c r="C947" t="n">
        <v>1249.6</v>
      </c>
      <c r="D947" t="n">
        <v>1231.89</v>
      </c>
      <c r="E947" s="5">
        <f>ABS(C947-B947)/B947</f>
        <v/>
      </c>
      <c r="F947" s="5">
        <f>ABS(D947-B947)/B947</f>
        <v/>
      </c>
      <c r="G947">
        <f>IF(E947&lt;F947,"model","official")</f>
        <v/>
      </c>
    </row>
    <row r="948">
      <c r="A948" s="2" t="n">
        <v>46239</v>
      </c>
      <c r="B948" t="n">
        <v>1259.32</v>
      </c>
      <c r="C948" t="n">
        <v>1253.6</v>
      </c>
      <c r="D948" t="n">
        <v>1233.89</v>
      </c>
      <c r="E948" s="5">
        <f>ABS(C948-B948)/B948</f>
        <v/>
      </c>
      <c r="F948" s="5">
        <f>ABS(D948-B948)/B948</f>
        <v/>
      </c>
      <c r="G948">
        <f>IF(E948&lt;F948,"model","official")</f>
        <v/>
      </c>
    </row>
    <row r="949">
      <c r="A949" s="2" t="n">
        <v>46240</v>
      </c>
      <c r="B949" t="n">
        <v>1231.02</v>
      </c>
      <c r="C949" t="n">
        <v>1259.87</v>
      </c>
      <c r="D949" t="n">
        <v>1215.17</v>
      </c>
      <c r="E949" s="5">
        <f>ABS(C949-B949)/B949</f>
        <v/>
      </c>
      <c r="F949" s="5">
        <f>ABS(D949-B949)/B949</f>
        <v/>
      </c>
      <c r="G949">
        <f>IF(E949&lt;F949,"model","official")</f>
        <v/>
      </c>
    </row>
    <row r="950">
      <c r="A950" s="2" t="n">
        <v>46241</v>
      </c>
      <c r="B950" t="n">
        <v>1170.6</v>
      </c>
      <c r="C950" t="n">
        <v>1236.57</v>
      </c>
      <c r="D950" t="n">
        <v>1202.23</v>
      </c>
      <c r="E950" s="5">
        <f>ABS(C950-B950)/B950</f>
        <v/>
      </c>
      <c r="F950" s="5">
        <f>ABS(D950-B950)/B950</f>
        <v/>
      </c>
      <c r="G950">
        <f>IF(E950&lt;F950,"model","official")</f>
        <v/>
      </c>
    </row>
    <row r="951">
      <c r="A951" s="2" t="n">
        <v>46242</v>
      </c>
      <c r="B951" t="n">
        <v>1021.14</v>
      </c>
      <c r="C951" t="n">
        <v>1056.09</v>
      </c>
      <c r="D951" t="n">
        <v>1030.52</v>
      </c>
      <c r="E951" s="5">
        <f>ABS(C951-B951)/B951</f>
        <v/>
      </c>
      <c r="F951" s="5">
        <f>ABS(D951-B951)/B951</f>
        <v/>
      </c>
      <c r="G951">
        <f>IF(E951&lt;F951,"model","official")</f>
        <v/>
      </c>
    </row>
    <row r="952">
      <c r="A952" s="2" t="n">
        <v>46243</v>
      </c>
      <c r="B952" t="n">
        <v>971.91</v>
      </c>
      <c r="C952" t="n">
        <v>988.79</v>
      </c>
      <c r="D952" t="n">
        <v>1010.14</v>
      </c>
      <c r="E952" s="5">
        <f>ABS(C952-B952)/B952</f>
        <v/>
      </c>
      <c r="F952" s="5">
        <f>ABS(D952-B952)/B952</f>
        <v/>
      </c>
      <c r="G952">
        <f>IF(E952&lt;F952,"model","official")</f>
        <v/>
      </c>
    </row>
    <row r="953">
      <c r="A953" s="2" t="n">
        <v>46244</v>
      </c>
      <c r="B953" t="n">
        <v>1202.66</v>
      </c>
      <c r="C953" t="n">
        <v>1201.82</v>
      </c>
      <c r="D953" t="n">
        <v>1254.67</v>
      </c>
      <c r="E953" s="5">
        <f>ABS(C953-B953)/B953</f>
        <v/>
      </c>
      <c r="F953" s="5">
        <f>ABS(D953-B953)/B953</f>
        <v/>
      </c>
      <c r="G953">
        <f>IF(E953&lt;F953,"model","official")</f>
        <v/>
      </c>
    </row>
    <row r="954">
      <c r="A954" s="2" t="n">
        <v>46245</v>
      </c>
      <c r="B954" t="n">
        <v>1194.32</v>
      </c>
      <c r="C954" t="n">
        <v>1221.2</v>
      </c>
      <c r="D954" t="n">
        <v>1229.4</v>
      </c>
      <c r="E954" s="5">
        <f>ABS(C954-B954)/B954</f>
        <v/>
      </c>
      <c r="F954" s="5">
        <f>ABS(D954-B954)/B954</f>
        <v/>
      </c>
      <c r="G954">
        <f>IF(E954&lt;F954,"model","official")</f>
        <v/>
      </c>
    </row>
    <row r="955">
      <c r="A955" s="2" t="n">
        <v>46246</v>
      </c>
      <c r="B955" t="n">
        <v>1188.88</v>
      </c>
      <c r="C955" t="n">
        <v>1227.13</v>
      </c>
      <c r="D955" t="n">
        <v>1235.94</v>
      </c>
      <c r="E955" s="5">
        <f>ABS(C955-B955)/B955</f>
        <v/>
      </c>
      <c r="F955" s="5">
        <f>ABS(D955-B955)/B955</f>
        <v/>
      </c>
      <c r="G955">
        <f>IF(E955&lt;F955,"model","official")</f>
        <v/>
      </c>
    </row>
    <row r="956">
      <c r="A956" s="2" t="n">
        <v>46247</v>
      </c>
      <c r="B956" t="n">
        <v>1198.27</v>
      </c>
      <c r="C956" t="n">
        <v>1216.82</v>
      </c>
      <c r="D956" t="n">
        <v>1216.77</v>
      </c>
      <c r="E956" s="5">
        <f>ABS(C956-B956)/B956</f>
        <v/>
      </c>
      <c r="F956" s="5">
        <f>ABS(D956-B956)/B956</f>
        <v/>
      </c>
      <c r="G956">
        <f>IF(E956&lt;F956,"model","official")</f>
        <v/>
      </c>
    </row>
    <row r="957">
      <c r="A957" s="2" t="n">
        <v>46248</v>
      </c>
      <c r="B957" t="n">
        <v>1192.29</v>
      </c>
      <c r="C957" t="n">
        <v>1183.14</v>
      </c>
      <c r="D957" t="n">
        <v>1200.15</v>
      </c>
      <c r="E957" s="5">
        <f>ABS(C957-B957)/B957</f>
        <v/>
      </c>
      <c r="F957" s="5">
        <f>ABS(D957-B957)/B957</f>
        <v/>
      </c>
      <c r="G957">
        <f>IF(E957&lt;F957,"model","official")</f>
        <v/>
      </c>
    </row>
    <row r="958">
      <c r="A958" s="2" t="n">
        <v>46249</v>
      </c>
      <c r="B958" t="n">
        <v>1070.18</v>
      </c>
      <c r="C958" t="n">
        <v>1015.34</v>
      </c>
      <c r="D958" t="n">
        <v>1084.9</v>
      </c>
      <c r="E958" s="5">
        <f>ABS(C958-B958)/B958</f>
        <v/>
      </c>
      <c r="F958" s="5">
        <f>ABS(D958-B958)/B958</f>
        <v/>
      </c>
      <c r="G958">
        <f>IF(E958&lt;F958,"model","official")</f>
        <v/>
      </c>
    </row>
    <row r="959">
      <c r="A959" s="2" t="n">
        <v>46250</v>
      </c>
      <c r="B959" t="n">
        <v>1016.92</v>
      </c>
      <c r="C959" t="n">
        <v>962.8200000000001</v>
      </c>
      <c r="D959" t="n">
        <v>1035.38</v>
      </c>
      <c r="E959" s="5">
        <f>ABS(C959-B959)/B959</f>
        <v/>
      </c>
      <c r="F959" s="5">
        <f>ABS(D959-B959)/B959</f>
        <v/>
      </c>
      <c r="G959">
        <f>IF(E959&lt;F959,"model","official")</f>
        <v/>
      </c>
    </row>
    <row r="960">
      <c r="A960" s="2" t="n">
        <v>46251</v>
      </c>
      <c r="B960" t="n">
        <v>1188.16</v>
      </c>
      <c r="C960" t="n">
        <v>1185.97</v>
      </c>
      <c r="D960" t="n">
        <v>1274.68</v>
      </c>
      <c r="E960" s="5">
        <f>ABS(C960-B960)/B960</f>
        <v/>
      </c>
      <c r="F960" s="5">
        <f>ABS(D960-B960)/B960</f>
        <v/>
      </c>
      <c r="G960">
        <f>IF(E960&lt;F960,"model","official")</f>
        <v/>
      </c>
    </row>
    <row r="961">
      <c r="A961" s="2" t="n">
        <v>46252</v>
      </c>
      <c r="B961" t="n">
        <v>1216.02</v>
      </c>
      <c r="C961" t="n">
        <v>1213.07</v>
      </c>
      <c r="D961" t="n">
        <v>1236.69</v>
      </c>
      <c r="E961" s="5">
        <f>ABS(C961-B961)/B961</f>
        <v/>
      </c>
      <c r="F961" s="5">
        <f>ABS(D961-B961)/B961</f>
        <v/>
      </c>
      <c r="G961">
        <f>IF(E961&lt;F961,"model","official")</f>
        <v/>
      </c>
    </row>
    <row r="962">
      <c r="A962" s="2" t="n">
        <v>46253</v>
      </c>
      <c r="B962" t="n">
        <v>1209.35</v>
      </c>
      <c r="C962" t="n">
        <v>1219.21</v>
      </c>
      <c r="D962" t="n">
        <v>1219.98</v>
      </c>
      <c r="E962" s="5">
        <f>ABS(C962-B962)/B962</f>
        <v/>
      </c>
      <c r="F962" s="5">
        <f>ABS(D962-B962)/B962</f>
        <v/>
      </c>
      <c r="G962">
        <f>IF(E962&lt;F962,"model","official")</f>
        <v/>
      </c>
    </row>
    <row r="963">
      <c r="A963" s="2" t="n">
        <v>46254</v>
      </c>
      <c r="B963" t="n">
        <v>1157.86</v>
      </c>
      <c r="C963" t="n">
        <v>1223.99</v>
      </c>
      <c r="D963" t="n">
        <v>1210.92</v>
      </c>
      <c r="E963" s="5">
        <f>ABS(C963-B963)/B963</f>
        <v/>
      </c>
      <c r="F963" s="5">
        <f>ABS(D963-B963)/B963</f>
        <v/>
      </c>
      <c r="G963">
        <f>IF(E963&lt;F963,"model","official")</f>
        <v/>
      </c>
    </row>
    <row r="964">
      <c r="A964" s="2" t="n">
        <v>46255</v>
      </c>
      <c r="B964" t="n">
        <v>1145.92</v>
      </c>
      <c r="C964" t="n">
        <v>1204.93</v>
      </c>
      <c r="D964" t="n">
        <v>1173.54</v>
      </c>
      <c r="E964" s="5">
        <f>ABS(C964-B964)/B964</f>
        <v/>
      </c>
      <c r="F964" s="5">
        <f>ABS(D964-B964)/B964</f>
        <v/>
      </c>
      <c r="G964">
        <f>IF(E964&lt;F964,"model","official")</f>
        <v/>
      </c>
    </row>
    <row r="965">
      <c r="A965" s="2" t="n">
        <v>46256</v>
      </c>
      <c r="B965" t="n">
        <v>1014.38</v>
      </c>
      <c r="C965" t="n">
        <v>1034.07</v>
      </c>
      <c r="D965" t="n">
        <v>1030.41</v>
      </c>
      <c r="E965" s="5">
        <f>ABS(C965-B965)/B965</f>
        <v/>
      </c>
      <c r="F965" s="5">
        <f>ABS(D965-B965)/B965</f>
        <v/>
      </c>
      <c r="G965">
        <f>IF(E965&lt;F965,"model","official")</f>
        <v/>
      </c>
    </row>
    <row r="966">
      <c r="A966" s="2" t="n">
        <v>46257</v>
      </c>
      <c r="B966" t="n">
        <v>939.64</v>
      </c>
      <c r="C966" t="n">
        <v>972.54</v>
      </c>
      <c r="D966" t="n">
        <v>1010.46</v>
      </c>
      <c r="E966" s="5">
        <f>ABS(C966-B966)/B966</f>
        <v/>
      </c>
      <c r="F966" s="5">
        <f>ABS(D966-B966)/B966</f>
        <v/>
      </c>
      <c r="G966">
        <f>IF(E966&lt;F966,"model","official")</f>
        <v/>
      </c>
    </row>
    <row r="967">
      <c r="A967" s="2" t="n">
        <v>46258</v>
      </c>
      <c r="B967" t="n">
        <v>1161.91</v>
      </c>
      <c r="C967" t="n">
        <v>1180.96</v>
      </c>
      <c r="D967" t="n">
        <v>1213.24</v>
      </c>
      <c r="E967" s="5">
        <f>ABS(C967-B967)/B967</f>
        <v/>
      </c>
      <c r="F967" s="5">
        <f>ABS(D967-B967)/B967</f>
        <v/>
      </c>
      <c r="G967">
        <f>IF(E967&lt;F967,"model","official")</f>
        <v/>
      </c>
    </row>
    <row r="968">
      <c r="A968" s="2" t="n">
        <v>46259</v>
      </c>
      <c r="B968" t="n">
        <v>1219.64</v>
      </c>
      <c r="C968" t="n">
        <v>1191.11</v>
      </c>
      <c r="D968" t="n">
        <v>1218.19</v>
      </c>
      <c r="E968" s="5">
        <f>ABS(C968-B968)/B968</f>
        <v/>
      </c>
      <c r="F968" s="5">
        <f>ABS(D968-B968)/B968</f>
        <v/>
      </c>
      <c r="G968">
        <f>IF(E968&lt;F968,"model","official")</f>
        <v/>
      </c>
    </row>
    <row r="969">
      <c r="A969" s="2" t="n">
        <v>46260</v>
      </c>
      <c r="B969" t="n">
        <v>1248.2</v>
      </c>
      <c r="C969" t="n">
        <v>1195.38</v>
      </c>
      <c r="D969" t="n">
        <v>1241.43</v>
      </c>
      <c r="E969" s="5">
        <f>ABS(C969-B969)/B969</f>
        <v/>
      </c>
      <c r="F969" s="5">
        <f>ABS(D969-B969)/B969</f>
        <v/>
      </c>
      <c r="G969">
        <f>IF(E969&lt;F969,"model","official")</f>
        <v/>
      </c>
    </row>
    <row r="970">
      <c r="A970" s="2" t="n">
        <v>46261</v>
      </c>
      <c r="B970" t="n">
        <v>1237.01</v>
      </c>
      <c r="C970" t="n">
        <v>1195.8</v>
      </c>
      <c r="D970" t="n">
        <v>1213.56</v>
      </c>
      <c r="E970" s="5">
        <f>ABS(C970-B970)/B970</f>
        <v/>
      </c>
      <c r="F970" s="5">
        <f>ABS(D970-B970)/B970</f>
        <v/>
      </c>
      <c r="G970">
        <f>IF(E970&lt;F970,"model","official")</f>
        <v/>
      </c>
    </row>
    <row r="971">
      <c r="A971" s="2" t="n">
        <v>46262</v>
      </c>
      <c r="B971" t="n">
        <v>1213.79</v>
      </c>
      <c r="C971" t="n">
        <v>1179.8</v>
      </c>
      <c r="D971" t="n">
        <v>1200.19</v>
      </c>
      <c r="E971" s="5">
        <f>ABS(C971-B971)/B971</f>
        <v/>
      </c>
      <c r="F971" s="5">
        <f>ABS(D971-B971)/B971</f>
        <v/>
      </c>
      <c r="G971">
        <f>IF(E971&lt;F971,"model","official")</f>
        <v/>
      </c>
    </row>
    <row r="972">
      <c r="A972" s="2" t="n">
        <v>46263</v>
      </c>
      <c r="B972" t="n">
        <v>1032.09</v>
      </c>
      <c r="C972" t="n">
        <v>1026.99</v>
      </c>
      <c r="D972" t="n">
        <v>1042.19</v>
      </c>
      <c r="E972" s="5">
        <f>ABS(C972-B972)/B972</f>
        <v/>
      </c>
      <c r="F972" s="5">
        <f>ABS(D972-B972)/B972</f>
        <v/>
      </c>
      <c r="G972">
        <f>IF(E972&lt;F972,"model","official")</f>
        <v/>
      </c>
    </row>
    <row r="973">
      <c r="A973" s="2" t="n">
        <v>46264</v>
      </c>
      <c r="B973" t="n">
        <v>959.46</v>
      </c>
      <c r="C973" t="n">
        <v>978.6900000000001</v>
      </c>
      <c r="D973" t="n">
        <v>1010.96</v>
      </c>
      <c r="E973" s="5">
        <f>ABS(C973-B973)/B973</f>
        <v/>
      </c>
      <c r="F973" s="5">
        <f>ABS(D973-B973)/B973</f>
        <v/>
      </c>
      <c r="G973">
        <f>IF(E973&lt;F973,"model","official")</f>
        <v/>
      </c>
    </row>
    <row r="974">
      <c r="A974" s="2" t="n">
        <v>46265</v>
      </c>
      <c r="B974" t="n">
        <v>1212.3</v>
      </c>
      <c r="C974" t="n">
        <v>1200.99</v>
      </c>
      <c r="D974" t="n">
        <v>1245.78</v>
      </c>
      <c r="E974" s="5">
        <f>ABS(C974-B974)/B974</f>
        <v/>
      </c>
      <c r="F974" s="5">
        <f>ABS(D974-B974)/B974</f>
        <v/>
      </c>
      <c r="G974">
        <f>IF(E974&lt;F974,"model","official")</f>
        <v/>
      </c>
    </row>
    <row r="975">
      <c r="A975" s="2" t="n">
        <v>46266</v>
      </c>
      <c r="B975" t="n">
        <v>1245.6</v>
      </c>
      <c r="C975" t="n">
        <v>1226.65</v>
      </c>
      <c r="D975" t="n">
        <v>1252.52</v>
      </c>
      <c r="E975" s="5">
        <f>ABS(C975-B975)/B975</f>
        <v/>
      </c>
      <c r="F975" s="5">
        <f>ABS(D975-B975)/B975</f>
        <v/>
      </c>
      <c r="G975">
        <f>IF(E975&lt;F975,"model","official")</f>
        <v/>
      </c>
    </row>
    <row r="976">
      <c r="A976" s="2" t="n">
        <v>46267</v>
      </c>
      <c r="B976" t="n">
        <v>1276.49</v>
      </c>
      <c r="C976" t="n">
        <v>1243.52</v>
      </c>
      <c r="D976" t="n">
        <v>1243.29</v>
      </c>
      <c r="E976" s="5">
        <f>ABS(C976-B976)/B976</f>
        <v/>
      </c>
      <c r="F976" s="5">
        <f>ABS(D976-B976)/B976</f>
        <v/>
      </c>
      <c r="G976">
        <f>IF(E976&lt;F976,"model","official")</f>
        <v/>
      </c>
    </row>
    <row r="977">
      <c r="A977" s="2" t="n">
        <v>46268</v>
      </c>
      <c r="B977" t="n">
        <v>1268.37</v>
      </c>
      <c r="C977" t="n">
        <v>1248.43</v>
      </c>
      <c r="D977" t="n">
        <v>1251.97</v>
      </c>
      <c r="E977" s="5">
        <f>ABS(C977-B977)/B977</f>
        <v/>
      </c>
      <c r="F977" s="5">
        <f>ABS(D977-B977)/B977</f>
        <v/>
      </c>
      <c r="G977">
        <f>IF(E977&lt;F977,"model","official")</f>
        <v/>
      </c>
    </row>
    <row r="978">
      <c r="A978" s="2" t="n">
        <v>46269</v>
      </c>
      <c r="B978" t="n">
        <v>1272.66</v>
      </c>
      <c r="C978" t="n">
        <v>1229.62</v>
      </c>
      <c r="D978" t="n">
        <v>1235.51</v>
      </c>
      <c r="E978" s="5">
        <f>ABS(C978-B978)/B978</f>
        <v/>
      </c>
      <c r="F978" s="5">
        <f>ABS(D978-B978)/B978</f>
        <v/>
      </c>
      <c r="G978">
        <f>IF(E978&lt;F978,"model","official")</f>
        <v/>
      </c>
    </row>
    <row r="979">
      <c r="A979" s="2" t="n">
        <v>46270</v>
      </c>
      <c r="B979" t="n">
        <v>1089.38</v>
      </c>
      <c r="C979" t="n">
        <v>1062.73</v>
      </c>
      <c r="D979" t="n">
        <v>1071.9</v>
      </c>
      <c r="E979" s="5">
        <f>ABS(C979-B979)/B979</f>
        <v/>
      </c>
      <c r="F979" s="5">
        <f>ABS(D979-B979)/B979</f>
        <v/>
      </c>
      <c r="G979">
        <f>IF(E979&lt;F979,"model","official")</f>
        <v/>
      </c>
    </row>
    <row r="980">
      <c r="A980" s="2" t="n">
        <v>46271</v>
      </c>
      <c r="B980" t="n">
        <v>997.98</v>
      </c>
      <c r="C980" t="n">
        <v>1011.46</v>
      </c>
      <c r="D980" t="n">
        <v>1023.84</v>
      </c>
      <c r="E980" s="5">
        <f>ABS(C980-B980)/B980</f>
        <v/>
      </c>
      <c r="F980" s="5">
        <f>ABS(D980-B980)/B980</f>
        <v/>
      </c>
      <c r="G980">
        <f>IF(E980&lt;F980,"model","official")</f>
        <v/>
      </c>
    </row>
    <row r="981">
      <c r="A981" s="2" t="n">
        <v>46272</v>
      </c>
      <c r="B981" t="n">
        <v>1271.29</v>
      </c>
      <c r="C981" t="n">
        <v>1247.57</v>
      </c>
      <c r="D981" t="n">
        <v>1267.71</v>
      </c>
      <c r="E981" s="5">
        <f>ABS(C981-B981)/B981</f>
        <v/>
      </c>
      <c r="F981" s="5">
        <f>ABS(D981-B981)/B981</f>
        <v/>
      </c>
      <c r="G981">
        <f>IF(E981&lt;F981,"model","official")</f>
        <v/>
      </c>
    </row>
    <row r="982">
      <c r="A982" s="2" t="n">
        <v>46273</v>
      </c>
      <c r="B982" t="n">
        <v>1280.46</v>
      </c>
      <c r="C982" t="n">
        <v>1276.35</v>
      </c>
      <c r="D982" t="n">
        <v>1282.25</v>
      </c>
      <c r="E982" s="5">
        <f>ABS(C982-B982)/B982</f>
        <v/>
      </c>
      <c r="F982" s="5">
        <f>ABS(D982-B982)/B982</f>
        <v/>
      </c>
      <c r="G982">
        <f>IF(E982&lt;F982,"model","official")</f>
        <v/>
      </c>
    </row>
    <row r="983">
      <c r="A983" s="2" t="n">
        <v>46274</v>
      </c>
      <c r="B983" t="n">
        <v>1306.61</v>
      </c>
      <c r="C983" t="n">
        <v>1295.31</v>
      </c>
      <c r="D983" t="n">
        <v>1293.66</v>
      </c>
      <c r="E983" s="5">
        <f>ABS(C983-B983)/B983</f>
        <v/>
      </c>
      <c r="F983" s="5">
        <f>ABS(D983-B983)/B983</f>
        <v/>
      </c>
      <c r="G983">
        <f>IF(E983&lt;F983,"model","official")</f>
        <v/>
      </c>
    </row>
    <row r="984">
      <c r="A984" s="2" t="n">
        <v>46275</v>
      </c>
      <c r="B984" t="n">
        <v>1293.15</v>
      </c>
      <c r="C984" t="n">
        <v>1300.93</v>
      </c>
      <c r="D984" t="n">
        <v>1273.65</v>
      </c>
      <c r="E984" s="5">
        <f>ABS(C984-B984)/B984</f>
        <v/>
      </c>
      <c r="F984" s="5">
        <f>ABS(D984-B984)/B984</f>
        <v/>
      </c>
      <c r="G984">
        <f>IF(E984&lt;F984,"model","official")</f>
        <v/>
      </c>
    </row>
    <row r="985">
      <c r="A985" s="2" t="n">
        <v>46276</v>
      </c>
      <c r="B985" t="n">
        <v>1283.42</v>
      </c>
      <c r="C985" t="n">
        <v>1282.24</v>
      </c>
      <c r="D985" t="n">
        <v>1242.69</v>
      </c>
      <c r="E985" s="5">
        <f>ABS(C985-B985)/B985</f>
        <v/>
      </c>
      <c r="F985" s="5">
        <f>ABS(D985-B985)/B985</f>
        <v/>
      </c>
      <c r="G985">
        <f>IF(E985&lt;F985,"model","official")</f>
        <v/>
      </c>
    </row>
    <row r="986">
      <c r="A986" s="2" t="n">
        <v>46277</v>
      </c>
      <c r="B986" t="n">
        <v>1091.37</v>
      </c>
      <c r="C986" t="n">
        <v>1108.08</v>
      </c>
      <c r="D986" t="n">
        <v>1091.11</v>
      </c>
      <c r="E986" s="5">
        <f>ABS(C986-B986)/B986</f>
        <v/>
      </c>
      <c r="F986" s="5">
        <f>ABS(D986-B986)/B986</f>
        <v/>
      </c>
      <c r="G986">
        <f>IF(E986&lt;F986,"model","official")</f>
        <v/>
      </c>
    </row>
    <row r="987">
      <c r="A987" s="2" t="n">
        <v>46278</v>
      </c>
      <c r="B987" t="n">
        <v>1056.99</v>
      </c>
      <c r="C987" t="n">
        <v>1048.31</v>
      </c>
      <c r="D987" t="n">
        <v>1068.85</v>
      </c>
      <c r="E987" s="5">
        <f>ABS(C987-B987)/B987</f>
        <v/>
      </c>
      <c r="F987" s="5">
        <f>ABS(D987-B987)/B987</f>
        <v/>
      </c>
      <c r="G987">
        <f>IF(E987&lt;F987,"model","official")</f>
        <v/>
      </c>
    </row>
    <row r="988">
      <c r="A988" s="2" t="n">
        <v>46279</v>
      </c>
      <c r="B988" t="n">
        <v>1298.38</v>
      </c>
      <c r="C988" t="n">
        <v>1283.82</v>
      </c>
      <c r="D988" t="n">
        <v>1278.06</v>
      </c>
      <c r="E988" s="5">
        <f>ABS(C988-B988)/B988</f>
        <v/>
      </c>
      <c r="F988" s="5">
        <f>ABS(D988-B988)/B988</f>
        <v/>
      </c>
      <c r="G988">
        <f>IF(E988&lt;F988,"model","official")</f>
        <v/>
      </c>
    </row>
    <row r="989">
      <c r="A989" s="2" t="n">
        <v>46280</v>
      </c>
      <c r="B989" t="n">
        <v>1323.23</v>
      </c>
      <c r="C989" t="n">
        <v>1315.23</v>
      </c>
      <c r="D989" t="n">
        <v>1297.07</v>
      </c>
      <c r="E989" s="5">
        <f>ABS(C989-B989)/B989</f>
        <v/>
      </c>
      <c r="F989" s="5">
        <f>ABS(D989-B989)/B989</f>
        <v/>
      </c>
      <c r="G989">
        <f>IF(E989&lt;F989,"model","official")</f>
        <v/>
      </c>
    </row>
    <row r="990">
      <c r="A990" s="2" t="n">
        <v>46281</v>
      </c>
      <c r="B990" t="n">
        <v>1350.29</v>
      </c>
      <c r="C990" t="n">
        <v>1329.4</v>
      </c>
      <c r="D990" t="n">
        <v>1303.25</v>
      </c>
      <c r="E990" s="5">
        <f>ABS(C990-B990)/B990</f>
        <v/>
      </c>
      <c r="F990" s="5">
        <f>ABS(D990-B990)/B990</f>
        <v/>
      </c>
      <c r="G990">
        <f>IF(E990&lt;F990,"model","official")</f>
        <v/>
      </c>
    </row>
    <row r="991">
      <c r="A991" s="2" t="n">
        <v>46282</v>
      </c>
      <c r="B991" t="n">
        <v>1325.49</v>
      </c>
      <c r="C991" t="n">
        <v>1335.91</v>
      </c>
      <c r="D991" t="n">
        <v>1292.07</v>
      </c>
      <c r="E991" s="5">
        <f>ABS(C991-B991)/B991</f>
        <v/>
      </c>
      <c r="F991" s="5">
        <f>ABS(D991-B991)/B991</f>
        <v/>
      </c>
      <c r="G991">
        <f>IF(E991&lt;F991,"model","official")</f>
        <v/>
      </c>
    </row>
    <row r="992">
      <c r="A992" s="2" t="n">
        <v>46283</v>
      </c>
      <c r="B992" t="n">
        <v>1269.23</v>
      </c>
      <c r="C992" t="n">
        <v>1318.05</v>
      </c>
      <c r="D992" t="n">
        <v>1272.88</v>
      </c>
      <c r="E992" s="5">
        <f>ABS(C992-B992)/B992</f>
        <v/>
      </c>
      <c r="F992" s="5">
        <f>ABS(D992-B992)/B992</f>
        <v/>
      </c>
      <c r="G992">
        <f>IF(E992&lt;F992,"model","official")</f>
        <v/>
      </c>
    </row>
    <row r="993">
      <c r="A993" s="2" t="n">
        <v>46284</v>
      </c>
      <c r="B993" t="n">
        <v>1096.94</v>
      </c>
      <c r="C993" t="n">
        <v>1139.55</v>
      </c>
      <c r="D993" t="n">
        <v>1098.14</v>
      </c>
      <c r="E993" s="5">
        <f>ABS(C993-B993)/B993</f>
        <v/>
      </c>
      <c r="F993" s="5">
        <f>ABS(D993-B993)/B993</f>
        <v/>
      </c>
      <c r="G993">
        <f>IF(E993&lt;F993,"model","official")</f>
        <v/>
      </c>
    </row>
    <row r="994">
      <c r="A994" s="2" t="n">
        <v>46285</v>
      </c>
      <c r="B994" t="n">
        <v>1043.54</v>
      </c>
      <c r="C994" t="n">
        <v>1076.38</v>
      </c>
      <c r="D994" t="n">
        <v>1072.33</v>
      </c>
      <c r="E994" s="5">
        <f>ABS(C994-B994)/B994</f>
        <v/>
      </c>
      <c r="F994" s="5">
        <f>ABS(D994-B994)/B994</f>
        <v/>
      </c>
      <c r="G994">
        <f>IF(E994&lt;F994,"model","official")</f>
        <v/>
      </c>
    </row>
    <row r="995">
      <c r="A995" s="2" t="n">
        <v>46286</v>
      </c>
      <c r="B995" t="n">
        <v>1248.43</v>
      </c>
      <c r="C995" t="n">
        <v>1317.29</v>
      </c>
      <c r="D995" t="n">
        <v>1278.6</v>
      </c>
      <c r="E995" s="5">
        <f>ABS(C995-B995)/B995</f>
        <v/>
      </c>
      <c r="F995" s="5">
        <f>ABS(D995-B995)/B995</f>
        <v/>
      </c>
      <c r="G995">
        <f>IF(E995&lt;F995,"model","official")</f>
        <v/>
      </c>
    </row>
    <row r="996">
      <c r="A996" s="2" t="n">
        <v>46287</v>
      </c>
      <c r="B996" t="n">
        <v>1267.94</v>
      </c>
      <c r="C996" t="n">
        <v>1338.64</v>
      </c>
      <c r="D996" t="n">
        <v>1279.83</v>
      </c>
      <c r="E996" s="5">
        <f>ABS(C996-B996)/B996</f>
        <v/>
      </c>
      <c r="F996" s="5">
        <f>ABS(D996-B996)/B996</f>
        <v/>
      </c>
      <c r="G996">
        <f>IF(E996&lt;F996,"model","official")</f>
        <v/>
      </c>
    </row>
    <row r="997">
      <c r="A997" s="2" t="n">
        <v>46288</v>
      </c>
      <c r="B997" t="n">
        <v>1291.21</v>
      </c>
      <c r="C997" t="n">
        <v>1341.14</v>
      </c>
      <c r="D997" t="n">
        <v>1284.85</v>
      </c>
      <c r="E997" s="5">
        <f>ABS(C997-B997)/B997</f>
        <v/>
      </c>
      <c r="F997" s="5">
        <f>ABS(D997-B997)/B997</f>
        <v/>
      </c>
      <c r="G997">
        <f>IF(E997&lt;F997,"model","official")</f>
        <v/>
      </c>
    </row>
    <row r="998">
      <c r="A998" s="2" t="n">
        <v>46289</v>
      </c>
      <c r="B998" t="n">
        <v>1313.21</v>
      </c>
      <c r="C998" t="n">
        <v>1332.35</v>
      </c>
      <c r="D998" t="n">
        <v>1278.03</v>
      </c>
      <c r="E998" s="5">
        <f>ABS(C998-B998)/B998</f>
        <v/>
      </c>
      <c r="F998" s="5">
        <f>ABS(D998-B998)/B998</f>
        <v/>
      </c>
      <c r="G998">
        <f>IF(E998&lt;F998,"model","official")</f>
        <v/>
      </c>
    </row>
    <row r="999">
      <c r="A999" s="2" t="n">
        <v>46290</v>
      </c>
      <c r="B999" t="n">
        <v>1270.23</v>
      </c>
      <c r="C999" t="n">
        <v>1297.95</v>
      </c>
      <c r="D999" t="n">
        <v>1248.87</v>
      </c>
      <c r="E999" s="5">
        <f>ABS(C999-B999)/B999</f>
        <v/>
      </c>
      <c r="F999" s="5">
        <f>ABS(D999-B999)/B999</f>
        <v/>
      </c>
      <c r="G999">
        <f>IF(E999&lt;F999,"model","official")</f>
        <v/>
      </c>
    </row>
    <row r="1000">
      <c r="A1000" s="2" t="n">
        <v>46291</v>
      </c>
      <c r="B1000" t="n">
        <v>1096.81</v>
      </c>
      <c r="C1000" t="n">
        <v>1116.81</v>
      </c>
      <c r="D1000" t="n">
        <v>1093.34</v>
      </c>
      <c r="E1000" s="5">
        <f>ABS(C1000-B1000)/B1000</f>
        <v/>
      </c>
      <c r="F1000" s="5">
        <f>ABS(D1000-B1000)/B1000</f>
        <v/>
      </c>
      <c r="G1000">
        <f>IF(E1000&lt;F1000,"model","official")</f>
        <v/>
      </c>
    </row>
    <row r="1001">
      <c r="A1001" s="2" t="n">
        <v>46292</v>
      </c>
      <c r="B1001" t="n">
        <v>1024.73</v>
      </c>
      <c r="C1001" t="n">
        <v>1056.03</v>
      </c>
      <c r="D1001" t="n">
        <v>1076.15</v>
      </c>
      <c r="E1001" s="5">
        <f>ABS(C1001-B1001)/B1001</f>
        <v/>
      </c>
      <c r="F1001" s="5">
        <f>ABS(D1001-B1001)/B1001</f>
        <v/>
      </c>
      <c r="G1001">
        <f>IF(E1001&lt;F1001,"model","official")</f>
        <v/>
      </c>
    </row>
    <row r="1002">
      <c r="A1002" s="2" t="n">
        <v>46293</v>
      </c>
      <c r="B1002" t="n">
        <v>1271.23</v>
      </c>
      <c r="C1002" t="n">
        <v>1290.48</v>
      </c>
      <c r="D1002" t="n">
        <v>1261.24</v>
      </c>
      <c r="E1002" s="5">
        <f>ABS(C1002-B1002)/B1002</f>
        <v/>
      </c>
      <c r="F1002" s="5">
        <f>ABS(D1002-B1002)/B1002</f>
        <v/>
      </c>
      <c r="G1002">
        <f>IF(E1002&lt;F1002,"model","official")</f>
        <v/>
      </c>
    </row>
    <row r="1003">
      <c r="A1003" s="2" t="n">
        <v>46294</v>
      </c>
      <c r="B1003" t="n">
        <v>1295.64</v>
      </c>
      <c r="C1003" t="n">
        <v>1310.2</v>
      </c>
      <c r="D1003" t="n">
        <v>1272.03</v>
      </c>
      <c r="E1003" s="5">
        <f>ABS(C1003-B1003)/B1003</f>
        <v/>
      </c>
      <c r="F1003" s="5">
        <f>ABS(D1003-B1003)/B1003</f>
        <v/>
      </c>
      <c r="G1003">
        <f>IF(E1003&lt;F1003,"model","official")</f>
        <v/>
      </c>
    </row>
    <row r="1004">
      <c r="A1004" s="2" t="n">
        <v>46295</v>
      </c>
      <c r="B1004" t="n">
        <v>1301.69</v>
      </c>
      <c r="C1004" t="n">
        <v>1323.18</v>
      </c>
      <c r="D1004" t="n">
        <v>1281.42</v>
      </c>
      <c r="E1004" s="5">
        <f>ABS(C1004-B1004)/B1004</f>
        <v/>
      </c>
      <c r="F1004" s="5">
        <f>ABS(D1004-B1004)/B1004</f>
        <v/>
      </c>
      <c r="G1004">
        <f>IF(E1004&lt;F1004,"model","official")</f>
        <v/>
      </c>
    </row>
    <row r="1005">
      <c r="A1005" s="2" t="n">
        <v>46296</v>
      </c>
      <c r="B1005" t="n">
        <v>1352.7</v>
      </c>
      <c r="C1005" t="n">
        <v>1327.89</v>
      </c>
      <c r="D1005" t="n">
        <v>1269.23</v>
      </c>
      <c r="E1005" s="5">
        <f>ABS(C1005-B1005)/B1005</f>
        <v/>
      </c>
      <c r="F1005" s="5">
        <f>ABS(D1005-B1005)/B1005</f>
        <v/>
      </c>
      <c r="G1005">
        <f>IF(E1005&lt;F1005,"model","official")</f>
        <v/>
      </c>
    </row>
    <row r="1006">
      <c r="A1006" s="2" t="n">
        <v>46297</v>
      </c>
      <c r="B1006" t="n">
        <v>1350.09</v>
      </c>
      <c r="C1006" t="n">
        <v>1303.99</v>
      </c>
      <c r="D1006" t="n">
        <v>1253.11</v>
      </c>
      <c r="E1006" s="5">
        <f>ABS(C1006-B1006)/B1006</f>
        <v/>
      </c>
      <c r="F1006" s="5">
        <f>ABS(D1006-B1006)/B1006</f>
        <v/>
      </c>
      <c r="G1006">
        <f>IF(E1006&lt;F1006,"model","official")</f>
        <v/>
      </c>
    </row>
    <row r="1007">
      <c r="A1007" s="2" t="n">
        <v>46298</v>
      </c>
      <c r="B1007" t="n">
        <v>1127.48</v>
      </c>
      <c r="C1007" t="n">
        <v>921.88</v>
      </c>
      <c r="D1007" t="n">
        <v>1016.4</v>
      </c>
      <c r="E1007" s="5">
        <f>ABS(C1007-B1007)/B1007</f>
        <v/>
      </c>
      <c r="F1007" s="5">
        <f>ABS(D1007-B1007)/B1007</f>
        <v/>
      </c>
      <c r="G1007">
        <f>IF(E1007&lt;F1007,"model","official")</f>
        <v/>
      </c>
    </row>
    <row r="1008">
      <c r="A1008" s="2" t="n">
        <v>46299</v>
      </c>
      <c r="B1008" t="n">
        <v>1084.27</v>
      </c>
      <c r="C1008" t="n">
        <v>1075.86</v>
      </c>
      <c r="D1008" t="n">
        <v>1082.12</v>
      </c>
      <c r="E1008" s="5">
        <f>ABS(C1008-B1008)/B1008</f>
        <v/>
      </c>
      <c r="F1008" s="5">
        <f>ABS(D1008-B1008)/B1008</f>
        <v/>
      </c>
      <c r="G1008">
        <f>IF(E1008&lt;F1008,"model","official")</f>
        <v/>
      </c>
    </row>
    <row r="1009">
      <c r="A1009" s="2" t="n">
        <v>46300</v>
      </c>
      <c r="B1009" t="n">
        <v>1306.52</v>
      </c>
      <c r="C1009" t="n">
        <v>1320.25</v>
      </c>
      <c r="D1009" t="n">
        <v>1319.62</v>
      </c>
      <c r="E1009" s="5">
        <f>ABS(C1009-B1009)/B1009</f>
        <v/>
      </c>
      <c r="F1009" s="5">
        <f>ABS(D1009-B1009)/B1009</f>
        <v/>
      </c>
      <c r="G1009">
        <f>IF(E1009&lt;F1009,"model","official")</f>
        <v/>
      </c>
    </row>
    <row r="1010">
      <c r="A1010" s="2" t="n">
        <v>46301</v>
      </c>
      <c r="B1010" t="n">
        <v>1324.14</v>
      </c>
      <c r="C1010" t="n">
        <v>1354.65</v>
      </c>
      <c r="D1010" t="n">
        <v>1312.66</v>
      </c>
      <c r="E1010" s="5">
        <f>ABS(C1010-B1010)/B1010</f>
        <v/>
      </c>
      <c r="F1010" s="5">
        <f>ABS(D1010-B1010)/B1010</f>
        <v/>
      </c>
      <c r="G1010">
        <f>IF(E1010&lt;F1010,"model","official")</f>
        <v/>
      </c>
    </row>
    <row r="1011">
      <c r="A1011" s="2" t="n">
        <v>46302</v>
      </c>
      <c r="B1011" t="n">
        <v>1330.76</v>
      </c>
      <c r="C1011" t="n">
        <v>1369.59</v>
      </c>
      <c r="D1011" t="n">
        <v>1304.17</v>
      </c>
      <c r="E1011" s="5">
        <f>ABS(C1011-B1011)/B1011</f>
        <v/>
      </c>
      <c r="F1011" s="5">
        <f>ABS(D1011-B1011)/B1011</f>
        <v/>
      </c>
      <c r="G1011">
        <f>IF(E1011&lt;F1011,"model","official")</f>
        <v/>
      </c>
    </row>
    <row r="1012">
      <c r="A1012" s="2" t="n">
        <v>46303</v>
      </c>
      <c r="B1012" t="n">
        <v>1365.23</v>
      </c>
      <c r="C1012" t="n">
        <v>1374</v>
      </c>
      <c r="D1012" t="n">
        <v>1310.64</v>
      </c>
      <c r="E1012" s="5">
        <f>ABS(C1012-B1012)/B1012</f>
        <v/>
      </c>
      <c r="F1012" s="5">
        <f>ABS(D1012-B1012)/B1012</f>
        <v/>
      </c>
      <c r="G1012">
        <f>IF(E1012&lt;F1012,"model","official")</f>
        <v/>
      </c>
    </row>
    <row r="1013">
      <c r="A1013" s="2" t="n">
        <v>46304</v>
      </c>
      <c r="B1013" t="n">
        <v>1306.38</v>
      </c>
      <c r="C1013" t="n">
        <v>1352.76</v>
      </c>
      <c r="D1013" t="n">
        <v>1297.11</v>
      </c>
      <c r="E1013" s="5">
        <f>ABS(C1013-B1013)/B1013</f>
        <v/>
      </c>
      <c r="F1013" s="5">
        <f>ABS(D1013-B1013)/B1013</f>
        <v/>
      </c>
      <c r="G1013">
        <f>IF(E1013&lt;F1013,"model","official")</f>
        <v/>
      </c>
    </row>
    <row r="1014">
      <c r="A1014" s="2" t="n">
        <v>46305</v>
      </c>
      <c r="B1014" t="n">
        <v>1125.54</v>
      </c>
      <c r="C1014" t="n">
        <v>1168.16</v>
      </c>
      <c r="D1014" t="n">
        <v>1113.48</v>
      </c>
      <c r="E1014" s="5">
        <f>ABS(C1014-B1014)/B1014</f>
        <v/>
      </c>
      <c r="F1014" s="5">
        <f>ABS(D1014-B1014)/B1014</f>
        <v/>
      </c>
      <c r="G1014">
        <f>IF(E1014&lt;F1014,"model","official")</f>
        <v/>
      </c>
    </row>
    <row r="1015">
      <c r="A1015" s="2" t="n">
        <v>46306</v>
      </c>
      <c r="B1015" t="n">
        <v>1062.61</v>
      </c>
      <c r="C1015" t="n">
        <v>1098.67</v>
      </c>
      <c r="D1015" t="n">
        <v>1125.5</v>
      </c>
      <c r="E1015" s="5">
        <f>ABS(C1015-B1015)/B1015</f>
        <v/>
      </c>
      <c r="F1015" s="5">
        <f>ABS(D1015-B1015)/B1015</f>
        <v/>
      </c>
      <c r="G1015">
        <f>IF(E1015&lt;F1015,"model","official")</f>
        <v/>
      </c>
    </row>
    <row r="1016">
      <c r="A1016" s="2" t="n">
        <v>46307</v>
      </c>
      <c r="B1016" t="n">
        <v>1314.02</v>
      </c>
      <c r="C1016" t="n">
        <v>1340.13</v>
      </c>
      <c r="D1016" t="n">
        <v>1331.48</v>
      </c>
      <c r="E1016" s="5">
        <f>ABS(C1016-B1016)/B1016</f>
        <v/>
      </c>
      <c r="F1016" s="5">
        <f>ABS(D1016-B1016)/B1016</f>
        <v/>
      </c>
      <c r="G1016">
        <f>IF(E1016&lt;F1016,"model","official")</f>
        <v/>
      </c>
    </row>
    <row r="1017">
      <c r="A1017" s="2" t="n">
        <v>46308</v>
      </c>
      <c r="B1017" t="n">
        <v>1376.85</v>
      </c>
      <c r="C1017" t="n">
        <v>1360.03</v>
      </c>
      <c r="D1017" t="n">
        <v>1342.7</v>
      </c>
      <c r="E1017" s="5">
        <f>ABS(C1017-B1017)/B1017</f>
        <v/>
      </c>
      <c r="F1017" s="5">
        <f>ABS(D1017-B1017)/B1017</f>
        <v/>
      </c>
      <c r="G1017">
        <f>IF(E1017&lt;F1017,"model","official")</f>
        <v/>
      </c>
    </row>
    <row r="1018">
      <c r="A1018" s="2" t="n">
        <v>46309</v>
      </c>
      <c r="B1018" t="n">
        <v>1354.29</v>
      </c>
      <c r="C1018" t="n">
        <v>1370.62</v>
      </c>
      <c r="D1018" t="n">
        <v>1344.74</v>
      </c>
      <c r="E1018" s="5">
        <f>ABS(C1018-B1018)/B1018</f>
        <v/>
      </c>
      <c r="F1018" s="5">
        <f>ABS(D1018-B1018)/B1018</f>
        <v/>
      </c>
      <c r="G1018">
        <f>IF(E1018&lt;F1018,"model","official")</f>
        <v/>
      </c>
    </row>
    <row r="1019">
      <c r="A1019" s="2" t="n">
        <v>46310</v>
      </c>
      <c r="B1019" t="n">
        <v>1370.04</v>
      </c>
      <c r="C1019" t="n">
        <v>1378.2</v>
      </c>
      <c r="D1019" t="n">
        <v>1312.9</v>
      </c>
      <c r="E1019" s="5">
        <f>ABS(C1019-B1019)/B1019</f>
        <v/>
      </c>
      <c r="F1019" s="5">
        <f>ABS(D1019-B1019)/B1019</f>
        <v/>
      </c>
      <c r="G1019">
        <f>IF(E1019&lt;F1019,"model","official")</f>
        <v/>
      </c>
    </row>
    <row r="1020">
      <c r="A1020" s="2" t="n">
        <v>46311</v>
      </c>
      <c r="B1020" t="n">
        <v>1322.28</v>
      </c>
      <c r="C1020" t="n">
        <v>1354.77</v>
      </c>
      <c r="D1020" t="n">
        <v>1314.99</v>
      </c>
      <c r="E1020" s="5">
        <f>ABS(C1020-B1020)/B1020</f>
        <v/>
      </c>
      <c r="F1020" s="5">
        <f>ABS(D1020-B1020)/B1020</f>
        <v/>
      </c>
      <c r="G1020">
        <f>IF(E1020&lt;F1020,"model","official")</f>
        <v/>
      </c>
    </row>
    <row r="1021">
      <c r="A1021" s="2" t="n">
        <v>46312</v>
      </c>
      <c r="B1021" t="n">
        <v>1175.66</v>
      </c>
      <c r="C1021" t="n">
        <v>1169.5</v>
      </c>
      <c r="D1021" t="n">
        <v>1129.76</v>
      </c>
      <c r="E1021" s="5">
        <f>ABS(C1021-B1021)/B1021</f>
        <v/>
      </c>
      <c r="F1021" s="5">
        <f>ABS(D1021-B1021)/B1021</f>
        <v/>
      </c>
      <c r="G1021">
        <f>IF(E1021&lt;F1021,"model","official")</f>
        <v/>
      </c>
    </row>
    <row r="1022">
      <c r="A1022" s="2" t="n">
        <v>46313</v>
      </c>
      <c r="B1022" t="n">
        <v>1118.13</v>
      </c>
      <c r="C1022" t="n">
        <v>1106.7</v>
      </c>
      <c r="D1022" t="n">
        <v>1101.43</v>
      </c>
      <c r="E1022" s="5">
        <f>ABS(C1022-B1022)/B1022</f>
        <v/>
      </c>
      <c r="F1022" s="5">
        <f>ABS(D1022-B1022)/B1022</f>
        <v/>
      </c>
      <c r="G1022">
        <f>IF(E1022&lt;F1022,"model","official")</f>
        <v/>
      </c>
    </row>
    <row r="1024">
      <c r="A1024" t="inlineStr">
        <is>
          <t>Mean</t>
        </is>
      </c>
      <c r="B1024" t="inlineStr"/>
      <c r="C1024" t="inlineStr"/>
      <c r="D1024" t="inlineStr"/>
      <c r="E1024" s="6">
        <f>AVERAGE(E2:E1022)</f>
        <v/>
      </c>
      <c r="F1024" s="6">
        <f>AVERAGE(F2:F1022)</f>
        <v/>
      </c>
      <c r="G1024" s="6">
        <f>COUNTIF(G2:G1022,"model")/COUNTA(G2:G1022)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Hour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00:00</t>
        </is>
      </c>
      <c r="B2" t="n">
        <v>-4.4</v>
      </c>
      <c r="C2" t="n">
        <v>-2.6</v>
      </c>
      <c r="D2" t="n">
        <v>-0.5</v>
      </c>
      <c r="E2" t="n">
        <v>2</v>
      </c>
      <c r="F2" t="n">
        <v>3.2</v>
      </c>
      <c r="G2" t="n">
        <v>0.1</v>
      </c>
      <c r="H2" t="n">
        <v>-0.2</v>
      </c>
      <c r="I2" t="n">
        <v>1.3</v>
      </c>
      <c r="J2" t="n">
        <v>0.5</v>
      </c>
      <c r="K2" t="n">
        <v>-1.1</v>
      </c>
      <c r="L2" t="n">
        <v>-1.3</v>
      </c>
      <c r="M2" t="n">
        <v>-1.7</v>
      </c>
    </row>
    <row r="3">
      <c r="A3" t="inlineStr">
        <is>
          <t>01:00</t>
        </is>
      </c>
      <c r="B3" t="n">
        <v>-4.6</v>
      </c>
      <c r="C3" t="n">
        <v>-2.7</v>
      </c>
      <c r="D3" t="n">
        <v>0</v>
      </c>
      <c r="E3" t="n">
        <v>2.6</v>
      </c>
      <c r="F3" t="n">
        <v>3.7</v>
      </c>
      <c r="G3" t="n">
        <v>0.5</v>
      </c>
      <c r="H3" t="n">
        <v>-0.1</v>
      </c>
      <c r="I3" t="n">
        <v>0.8</v>
      </c>
      <c r="J3" t="n">
        <v>0.4</v>
      </c>
      <c r="K3" t="n">
        <v>-0.9</v>
      </c>
      <c r="L3" t="n">
        <v>-0.8</v>
      </c>
      <c r="M3" t="n">
        <v>-1.2</v>
      </c>
    </row>
    <row r="4">
      <c r="A4" t="inlineStr">
        <is>
          <t>02:00</t>
        </is>
      </c>
      <c r="B4" t="n">
        <v>-4.7</v>
      </c>
      <c r="C4" t="n">
        <v>-2.6</v>
      </c>
      <c r="D4" t="n">
        <v>0.1</v>
      </c>
      <c r="E4" t="n">
        <v>3</v>
      </c>
      <c r="F4" t="n">
        <v>4.2</v>
      </c>
      <c r="G4" t="n">
        <v>1</v>
      </c>
      <c r="H4" t="n">
        <v>0.4</v>
      </c>
      <c r="I4" t="n">
        <v>1.1</v>
      </c>
      <c r="J4" t="n">
        <v>0.7</v>
      </c>
      <c r="K4" t="n">
        <v>-0.7</v>
      </c>
      <c r="L4" t="n">
        <v>-0.5</v>
      </c>
      <c r="M4" t="n">
        <v>-0.6</v>
      </c>
    </row>
    <row r="5">
      <c r="A5" t="inlineStr">
        <is>
          <t>03:00</t>
        </is>
      </c>
      <c r="B5" t="n">
        <v>-4.6</v>
      </c>
      <c r="C5" t="n">
        <v>-2.6</v>
      </c>
      <c r="D5" t="n">
        <v>-0.1</v>
      </c>
      <c r="E5" t="n">
        <v>2.9</v>
      </c>
      <c r="F5" t="n">
        <v>4.1</v>
      </c>
      <c r="G5" t="n">
        <v>1.2</v>
      </c>
      <c r="H5" t="n">
        <v>0.5</v>
      </c>
      <c r="I5" t="n">
        <v>1.2</v>
      </c>
      <c r="J5" t="n">
        <v>0.7</v>
      </c>
      <c r="K5" t="n">
        <v>-1</v>
      </c>
      <c r="L5" t="n">
        <v>-0.5</v>
      </c>
      <c r="M5" t="n">
        <v>-0.5</v>
      </c>
    </row>
    <row r="6">
      <c r="A6" t="inlineStr">
        <is>
          <t>04:00</t>
        </is>
      </c>
      <c r="B6" t="n">
        <v>-4</v>
      </c>
      <c r="C6" t="n">
        <v>-2.4</v>
      </c>
      <c r="D6" t="n">
        <v>-0.7</v>
      </c>
      <c r="E6" t="n">
        <v>2.3</v>
      </c>
      <c r="F6" t="n">
        <v>3.9</v>
      </c>
      <c r="G6" t="n">
        <v>1.7</v>
      </c>
      <c r="H6" t="n">
        <v>1</v>
      </c>
      <c r="I6" t="n">
        <v>1.5</v>
      </c>
      <c r="J6" t="n">
        <v>0.7</v>
      </c>
      <c r="K6" t="n">
        <v>-1.3</v>
      </c>
      <c r="L6" t="n">
        <v>-0.7</v>
      </c>
      <c r="M6" t="n">
        <v>-0.6</v>
      </c>
    </row>
    <row r="7">
      <c r="A7" t="inlineStr">
        <is>
          <t>05:00</t>
        </is>
      </c>
      <c r="B7" t="n">
        <v>-3.1</v>
      </c>
      <c r="C7" t="n">
        <v>-1.6</v>
      </c>
      <c r="D7" t="n">
        <v>-0.8</v>
      </c>
      <c r="E7" t="n">
        <v>1.3</v>
      </c>
      <c r="F7" t="n">
        <v>3.3</v>
      </c>
      <c r="G7" t="n">
        <v>1.3</v>
      </c>
      <c r="H7" t="n">
        <v>1</v>
      </c>
      <c r="I7" t="n">
        <v>1.4</v>
      </c>
      <c r="J7" t="n">
        <v>0.1</v>
      </c>
      <c r="K7" t="n">
        <v>-1.9</v>
      </c>
      <c r="L7" t="n">
        <v>-0.2</v>
      </c>
      <c r="M7" t="n">
        <v>0.2</v>
      </c>
    </row>
    <row r="8">
      <c r="A8" t="inlineStr">
        <is>
          <t>06:00</t>
        </is>
      </c>
      <c r="B8" t="n">
        <v>-3.2</v>
      </c>
      <c r="C8" t="n">
        <v>-1.9</v>
      </c>
      <c r="D8" t="n">
        <v>-1.1</v>
      </c>
      <c r="E8" t="n">
        <v>0.4</v>
      </c>
      <c r="F8" t="n">
        <v>2.3</v>
      </c>
      <c r="G8" t="n">
        <v>0.1</v>
      </c>
      <c r="H8" t="n">
        <v>0.8</v>
      </c>
      <c r="I8" t="n">
        <v>1.9</v>
      </c>
      <c r="J8" t="n">
        <v>-1</v>
      </c>
      <c r="K8" t="n">
        <v>-2.9</v>
      </c>
      <c r="L8" t="n">
        <v>-1.5</v>
      </c>
      <c r="M8" t="n">
        <v>1</v>
      </c>
    </row>
    <row r="9">
      <c r="A9" t="inlineStr">
        <is>
          <t>07:00</t>
        </is>
      </c>
      <c r="B9" t="n">
        <v>-3.2</v>
      </c>
      <c r="C9" t="n">
        <v>-1.8</v>
      </c>
      <c r="D9" t="n">
        <v>-0.1</v>
      </c>
      <c r="E9" t="n">
        <v>1.5</v>
      </c>
      <c r="F9" t="n">
        <v>2.9</v>
      </c>
      <c r="G9" t="n">
        <v>0.4</v>
      </c>
      <c r="H9" t="n">
        <v>1.9</v>
      </c>
      <c r="I9" t="n">
        <v>2.5</v>
      </c>
      <c r="J9" t="n">
        <v>0.7</v>
      </c>
      <c r="K9" t="n">
        <v>-1.9</v>
      </c>
      <c r="L9" t="n">
        <v>-0.9</v>
      </c>
      <c r="M9" t="n">
        <v>1.5</v>
      </c>
    </row>
    <row r="10">
      <c r="A10" t="inlineStr">
        <is>
          <t>08:00</t>
        </is>
      </c>
      <c r="B10" t="n">
        <v>-3.2</v>
      </c>
      <c r="C10" t="n">
        <v>-1.5</v>
      </c>
      <c r="D10" t="n">
        <v>1</v>
      </c>
      <c r="E10" t="n">
        <v>2.3</v>
      </c>
      <c r="F10" t="n">
        <v>3.2</v>
      </c>
      <c r="G10" t="n">
        <v>1.3</v>
      </c>
      <c r="H10" t="n">
        <v>2.3</v>
      </c>
      <c r="I10" t="n">
        <v>2.8</v>
      </c>
      <c r="J10" t="n">
        <v>0.9</v>
      </c>
      <c r="K10" t="n">
        <v>-1</v>
      </c>
      <c r="L10" t="n">
        <v>-0.6</v>
      </c>
      <c r="M10" t="n">
        <v>1.3</v>
      </c>
    </row>
    <row r="11">
      <c r="A11" t="inlineStr">
        <is>
          <t>09:00</t>
        </is>
      </c>
      <c r="B11" t="n">
        <v>-2.6</v>
      </c>
      <c r="C11" t="n">
        <v>-1.1</v>
      </c>
      <c r="D11" t="n">
        <v>2.3</v>
      </c>
      <c r="E11" t="n">
        <v>3.9</v>
      </c>
      <c r="F11" t="n">
        <v>4.7</v>
      </c>
      <c r="G11" t="n">
        <v>2.9</v>
      </c>
      <c r="H11" t="n">
        <v>3.4</v>
      </c>
      <c r="I11" t="n">
        <v>3</v>
      </c>
      <c r="J11" t="n">
        <v>0.9</v>
      </c>
      <c r="K11" t="n">
        <v>-0.9</v>
      </c>
      <c r="L11" t="n">
        <v>-0.1</v>
      </c>
      <c r="M11" t="n">
        <v>1.4</v>
      </c>
    </row>
    <row r="12">
      <c r="A12" t="inlineStr">
        <is>
          <t>10:00</t>
        </is>
      </c>
      <c r="B12" t="n">
        <v>-2.3</v>
      </c>
      <c r="C12" t="n">
        <v>-0.8</v>
      </c>
      <c r="D12" t="n">
        <v>3.9</v>
      </c>
      <c r="E12" t="n">
        <v>6</v>
      </c>
      <c r="F12" t="n">
        <v>6.4</v>
      </c>
      <c r="G12" t="n">
        <v>3.9</v>
      </c>
      <c r="H12" t="n">
        <v>4.2</v>
      </c>
      <c r="I12" t="n">
        <v>4</v>
      </c>
      <c r="J12" t="n">
        <v>1.2</v>
      </c>
      <c r="K12" t="n">
        <v>-0.4</v>
      </c>
      <c r="L12" t="n">
        <v>0.6</v>
      </c>
      <c r="M12" t="n">
        <v>2.1</v>
      </c>
    </row>
    <row r="13">
      <c r="A13" t="inlineStr">
        <is>
          <t>11:00</t>
        </is>
      </c>
      <c r="B13" t="n">
        <v>-2</v>
      </c>
      <c r="C13" t="n">
        <v>-0.3</v>
      </c>
      <c r="D13" t="n">
        <v>4.9</v>
      </c>
      <c r="E13" t="n">
        <v>7.7</v>
      </c>
      <c r="F13" t="n">
        <v>7</v>
      </c>
      <c r="G13" t="n">
        <v>4.4</v>
      </c>
      <c r="H13" t="n">
        <v>4.3</v>
      </c>
      <c r="I13" t="n">
        <v>4.3</v>
      </c>
      <c r="J13" t="n">
        <v>1.7</v>
      </c>
      <c r="K13" t="n">
        <v>-0.3</v>
      </c>
      <c r="L13" t="n">
        <v>1</v>
      </c>
      <c r="M13" t="n">
        <v>2.4</v>
      </c>
    </row>
    <row r="14">
      <c r="A14" t="inlineStr">
        <is>
          <t>12:00</t>
        </is>
      </c>
      <c r="B14" t="n">
        <v>-1.9</v>
      </c>
      <c r="C14" t="n">
        <v>0.3</v>
      </c>
      <c r="D14" t="n">
        <v>5.4</v>
      </c>
      <c r="E14" t="n">
        <v>8.9</v>
      </c>
      <c r="F14" t="n">
        <v>7.3</v>
      </c>
      <c r="G14" t="n">
        <v>4.8</v>
      </c>
      <c r="H14" t="n">
        <v>4.4</v>
      </c>
      <c r="I14" t="n">
        <v>4.3</v>
      </c>
      <c r="J14" t="n">
        <v>2.2</v>
      </c>
      <c r="K14" t="n">
        <v>0</v>
      </c>
      <c r="L14" t="n">
        <v>1.1</v>
      </c>
      <c r="M14" t="n">
        <v>2.3</v>
      </c>
    </row>
    <row r="15">
      <c r="A15" t="inlineStr">
        <is>
          <t>13:00</t>
        </is>
      </c>
      <c r="B15" t="n">
        <v>-2</v>
      </c>
      <c r="C15" t="n">
        <v>0.6</v>
      </c>
      <c r="D15" t="n">
        <v>5.4</v>
      </c>
      <c r="E15" t="n">
        <v>9.199999999999999</v>
      </c>
      <c r="F15" t="n">
        <v>7.3</v>
      </c>
      <c r="G15" t="n">
        <v>4.8</v>
      </c>
      <c r="H15" t="n">
        <v>4.5</v>
      </c>
      <c r="I15" t="n">
        <v>4.4</v>
      </c>
      <c r="J15" t="n">
        <v>2.4</v>
      </c>
      <c r="K15" t="n">
        <v>0.2</v>
      </c>
      <c r="L15" t="n">
        <v>1</v>
      </c>
      <c r="M15" t="n">
        <v>2.3</v>
      </c>
    </row>
    <row r="16">
      <c r="A16" t="inlineStr">
        <is>
          <t>14:00</t>
        </is>
      </c>
      <c r="B16" t="n">
        <v>-2.5</v>
      </c>
      <c r="C16" t="n">
        <v>0.2</v>
      </c>
      <c r="D16" t="n">
        <v>4.9</v>
      </c>
      <c r="E16" t="n">
        <v>9.4</v>
      </c>
      <c r="F16" t="n">
        <v>7.4</v>
      </c>
      <c r="G16" t="n">
        <v>4.4</v>
      </c>
      <c r="H16" t="n">
        <v>4.3</v>
      </c>
      <c r="I16" t="n">
        <v>4.7</v>
      </c>
      <c r="J16" t="n">
        <v>2.8</v>
      </c>
      <c r="K16" t="n">
        <v>0.7</v>
      </c>
      <c r="L16" t="n">
        <v>0.1</v>
      </c>
      <c r="M16" t="n">
        <v>1.6</v>
      </c>
    </row>
    <row r="17">
      <c r="A17" t="inlineStr">
        <is>
          <t>15:00</t>
        </is>
      </c>
      <c r="B17" t="n">
        <v>-3.1</v>
      </c>
      <c r="C17" t="n">
        <v>-0</v>
      </c>
      <c r="D17" t="n">
        <v>4.1</v>
      </c>
      <c r="E17" t="n">
        <v>8.800000000000001</v>
      </c>
      <c r="F17" t="n">
        <v>6.5</v>
      </c>
      <c r="G17" t="n">
        <v>3.5</v>
      </c>
      <c r="H17" t="n">
        <v>3.7</v>
      </c>
      <c r="I17" t="n">
        <v>4.5</v>
      </c>
      <c r="J17" t="n">
        <v>2.4</v>
      </c>
      <c r="K17" t="n">
        <v>0.4</v>
      </c>
      <c r="L17" t="n">
        <v>-1.2</v>
      </c>
      <c r="M17" t="n">
        <v>0.3</v>
      </c>
    </row>
    <row r="18">
      <c r="A18" t="inlineStr">
        <is>
          <t>16:00</t>
        </is>
      </c>
      <c r="B18" t="n">
        <v>-3.9</v>
      </c>
      <c r="C18" t="n">
        <v>0.1</v>
      </c>
      <c r="D18" t="n">
        <v>3.2</v>
      </c>
      <c r="E18" t="n">
        <v>8</v>
      </c>
      <c r="F18" t="n">
        <v>5.7</v>
      </c>
      <c r="G18" t="n">
        <v>2.5</v>
      </c>
      <c r="H18" t="n">
        <v>3.2</v>
      </c>
      <c r="I18" t="n">
        <v>3.9</v>
      </c>
      <c r="J18" t="n">
        <v>2</v>
      </c>
      <c r="K18" t="n">
        <v>-0.1</v>
      </c>
      <c r="L18" t="n">
        <v>-2.1</v>
      </c>
      <c r="M18" t="n">
        <v>-0.9</v>
      </c>
    </row>
    <row r="19">
      <c r="A19" t="inlineStr">
        <is>
          <t>17:00</t>
        </is>
      </c>
      <c r="B19" t="n">
        <v>-4.5</v>
      </c>
      <c r="C19" t="n">
        <v>-0.9</v>
      </c>
      <c r="D19" t="n">
        <v>1.6</v>
      </c>
      <c r="E19" t="n">
        <v>6.4</v>
      </c>
      <c r="F19" t="n">
        <v>4.4</v>
      </c>
      <c r="G19" t="n">
        <v>1.4</v>
      </c>
      <c r="H19" t="n">
        <v>1.8</v>
      </c>
      <c r="I19" t="n">
        <v>2.9</v>
      </c>
      <c r="J19" t="n">
        <v>0.6</v>
      </c>
      <c r="K19" t="n">
        <v>-1.2</v>
      </c>
      <c r="L19" t="n">
        <v>-2.8</v>
      </c>
      <c r="M19" t="n">
        <v>-1.3</v>
      </c>
    </row>
    <row r="20">
      <c r="A20" t="inlineStr">
        <is>
          <t>18:00</t>
        </is>
      </c>
      <c r="B20" t="n">
        <v>-3.9</v>
      </c>
      <c r="C20" t="n">
        <v>-2.1</v>
      </c>
      <c r="D20" t="n">
        <v>0.1</v>
      </c>
      <c r="E20" t="n">
        <v>4.2</v>
      </c>
      <c r="F20" t="n">
        <v>3.8</v>
      </c>
      <c r="G20" t="n">
        <v>0.9</v>
      </c>
      <c r="H20" t="n">
        <v>1.1</v>
      </c>
      <c r="I20" t="n">
        <v>1.9</v>
      </c>
      <c r="J20" t="n">
        <v>0.1</v>
      </c>
      <c r="K20" t="n">
        <v>-1.6</v>
      </c>
      <c r="L20" t="n">
        <v>-1.8</v>
      </c>
      <c r="M20" t="n">
        <v>-0.5</v>
      </c>
    </row>
    <row r="21">
      <c r="A21" t="inlineStr">
        <is>
          <t>19:00</t>
        </is>
      </c>
      <c r="B21" t="n">
        <v>-4.1</v>
      </c>
      <c r="C21" t="n">
        <v>-2.2</v>
      </c>
      <c r="D21" t="n">
        <v>-0.8</v>
      </c>
      <c r="E21" t="n">
        <v>2.9</v>
      </c>
      <c r="F21" t="n">
        <v>3.2</v>
      </c>
      <c r="G21" t="n">
        <v>0.6</v>
      </c>
      <c r="H21" t="n">
        <v>1.2</v>
      </c>
      <c r="I21" t="n">
        <v>2</v>
      </c>
      <c r="J21" t="n">
        <v>-0.2</v>
      </c>
      <c r="K21" t="n">
        <v>-1.8</v>
      </c>
      <c r="L21" t="n">
        <v>-1.6</v>
      </c>
      <c r="M21" t="n">
        <v>-0.2</v>
      </c>
    </row>
    <row r="22">
      <c r="A22" t="inlineStr">
        <is>
          <t>20:00</t>
        </is>
      </c>
      <c r="B22" t="n">
        <v>-4.2</v>
      </c>
      <c r="C22" t="n">
        <v>-2.2</v>
      </c>
      <c r="D22" t="n">
        <v>-0.5</v>
      </c>
      <c r="E22" t="n">
        <v>1.4</v>
      </c>
      <c r="F22" t="n">
        <v>2.8</v>
      </c>
      <c r="G22" t="n">
        <v>0.4</v>
      </c>
      <c r="H22" t="n">
        <v>1.2</v>
      </c>
      <c r="I22" t="n">
        <v>2.6</v>
      </c>
      <c r="J22" t="n">
        <v>-0.7</v>
      </c>
      <c r="K22" t="n">
        <v>-1.3</v>
      </c>
      <c r="L22" t="n">
        <v>-1.9</v>
      </c>
      <c r="M22" t="n">
        <v>-0.3</v>
      </c>
    </row>
    <row r="23">
      <c r="A23" t="inlineStr">
        <is>
          <t>21:00</t>
        </is>
      </c>
      <c r="B23" t="n">
        <v>-4.5</v>
      </c>
      <c r="C23" t="n">
        <v>-2.5</v>
      </c>
      <c r="D23" t="n">
        <v>-0.5</v>
      </c>
      <c r="E23" t="n">
        <v>0.8</v>
      </c>
      <c r="F23" t="n">
        <v>1.8</v>
      </c>
      <c r="G23" t="n">
        <v>0.1</v>
      </c>
      <c r="H23" t="n">
        <v>0.7</v>
      </c>
      <c r="I23" t="n">
        <v>2.2</v>
      </c>
      <c r="J23" t="n">
        <v>0.4</v>
      </c>
      <c r="K23" t="n">
        <v>-1</v>
      </c>
      <c r="L23" t="n">
        <v>-2.1</v>
      </c>
      <c r="M23" t="n">
        <v>-0.9</v>
      </c>
    </row>
    <row r="24">
      <c r="A24" t="inlineStr">
        <is>
          <t>22:00</t>
        </is>
      </c>
      <c r="B24" t="n">
        <v>-4.7</v>
      </c>
      <c r="C24" t="n">
        <v>-2.7</v>
      </c>
      <c r="D24" t="n">
        <v>-0.9</v>
      </c>
      <c r="E24" t="n">
        <v>1.4</v>
      </c>
      <c r="F24" t="n">
        <v>1.7</v>
      </c>
      <c r="G24" t="n">
        <v>-1.2</v>
      </c>
      <c r="H24" t="n">
        <v>-0.3</v>
      </c>
      <c r="I24" t="n">
        <v>2.5</v>
      </c>
      <c r="J24" t="n">
        <v>0.7</v>
      </c>
      <c r="K24" t="n">
        <v>-1.2</v>
      </c>
      <c r="L24" t="n">
        <v>-2.1</v>
      </c>
      <c r="M24" t="n">
        <v>-1.4</v>
      </c>
    </row>
    <row r="25">
      <c r="A25" t="inlineStr">
        <is>
          <t>23:00</t>
        </is>
      </c>
      <c r="B25" t="n">
        <v>-4.8</v>
      </c>
      <c r="C25" t="n">
        <v>-2.8</v>
      </c>
      <c r="D25" t="n">
        <v>-1</v>
      </c>
      <c r="E25" t="n">
        <v>1.8</v>
      </c>
      <c r="F25" t="n">
        <v>2.6</v>
      </c>
      <c r="G25" t="n">
        <v>-0.8</v>
      </c>
      <c r="H25" t="n">
        <v>-0.1</v>
      </c>
      <c r="I25" t="n">
        <v>2.1</v>
      </c>
      <c r="J25" t="n">
        <v>0.3</v>
      </c>
      <c r="K25" t="n">
        <v>-1.3</v>
      </c>
      <c r="L25" t="n">
        <v>-1.9</v>
      </c>
      <c r="M25" t="n">
        <v>-1.5</v>
      </c>
    </row>
    <row r="27">
      <c r="A27" t="inlineStr">
        <is>
          <t>Mean % error of the official day-ahead forecast, 2025–2026. Positive = forecast above actual load.</t>
        </is>
      </c>
    </row>
  </sheetData>
  <conditionalFormatting sqref="B2:M25">
    <cfRule type="colorScale" priority="1">
      <colorScale>
        <cfvo type="min"/>
        <cfvo type="num" val="0"/>
        <cfvo type="max"/>
        <color rgb="002B6CB0"/>
        <color rgb="00FFFFFF"/>
        <color rgb="00C5303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2026-10-19T16:28:45Z</dcterms:created>
  <dcterms:modified xsi:type="dcterms:W3CDTF">2026-10-19T16:28:45Z</dcterms:modified>
</cp:coreProperties>
</file>